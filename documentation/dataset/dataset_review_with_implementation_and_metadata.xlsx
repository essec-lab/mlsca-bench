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iris/Downloads/"/>
    </mc:Choice>
  </mc:AlternateContent>
  <xr:revisionPtr revIDLastSave="0" documentId="13_ncr:2001_{682316CE-A17E-8C46-AC44-6CA05F57F9C4}" xr6:coauthVersionLast="47" xr6:coauthVersionMax="47" xr10:uidLastSave="{00000000-0000-0000-0000-000000000000}"/>
  <bookViews>
    <workbookView xWindow="-37020" yWindow="660" windowWidth="36540" windowHeight="20760" xr2:uid="{00000000-000D-0000-FFFF-FFFF00000000}"/>
  </bookViews>
  <sheets>
    <sheet name="Sheet1" sheetId="1" r:id="rId1"/>
    <sheet name="Sheet2" sheetId="2" r:id="rId2"/>
    <sheet name="Device_Audit" sheetId="3" r:id="rId3"/>
    <sheet name="Device_Methodology" sheetId="4" r:id="rId4"/>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4" i="1" l="1"/>
  <c r="F73" i="1"/>
</calcChain>
</file>

<file path=xl/sharedStrings.xml><?xml version="1.0" encoding="utf-8"?>
<sst xmlns="http://schemas.openxmlformats.org/spreadsheetml/2006/main" count="2284" uniqueCount="549">
  <si>
    <t>Dataset</t>
  </si>
  <si>
    <t>Availability</t>
  </si>
  <si>
    <t xml:space="preserve">Types of traces </t>
  </si>
  <si>
    <t xml:space="preserve">cryptographic algorithm </t>
  </si>
  <si>
    <t xml:space="preserve">predefine splitting </t>
  </si>
  <si>
    <t xml:space="preserve">n of traces </t>
  </si>
  <si>
    <t xml:space="preserve">n. training traces </t>
  </si>
  <si>
    <t xml:space="preserve">n. attack traces </t>
  </si>
  <si>
    <t xml:space="preserve">n. of features </t>
  </si>
  <si>
    <t>Labels(keys)</t>
  </si>
  <si>
    <t>Plaintext</t>
  </si>
  <si>
    <t>Keys</t>
  </si>
  <si>
    <t>Countermeasure</t>
  </si>
  <si>
    <t>storage type</t>
  </si>
  <si>
    <t>Year</t>
  </si>
  <si>
    <t xml:space="preserve">Repo </t>
  </si>
  <si>
    <t>Paper</t>
  </si>
  <si>
    <t xml:space="preserve">notes </t>
  </si>
  <si>
    <t>Target device (standardized)</t>
  </si>
  <si>
    <t>Architecture / core</t>
  </si>
  <si>
    <t>Board / platform</t>
  </si>
  <si>
    <t>Implementation class</t>
  </si>
  <si>
    <t>Implementation</t>
  </si>
  <si>
    <t>Metadata available</t>
  </si>
  <si>
    <t xml:space="preserve">AES 2023 </t>
  </si>
  <si>
    <t xml:space="preserve">yes </t>
  </si>
  <si>
    <t xml:space="preserve">power </t>
  </si>
  <si>
    <t xml:space="preserve">AES </t>
  </si>
  <si>
    <t>no</t>
  </si>
  <si>
    <t xml:space="preserve">fixed </t>
  </si>
  <si>
    <t>Xilinx Spartan-6 FPGA</t>
  </si>
  <si>
    <t>https://gitee.com/yuyuyu1256/sakura-g-aes-present/blob/master/README.en.md</t>
  </si>
  <si>
    <t>https://pdf.sciencedirectassets.com/280179/1-s2.0-S1877750323X00076/1-s2.0-S1877750323001382/main.pdf?X-Amz-Security-Token=IQoJb3JpZ2luX2VjENX%2F%2F%2F%2F%2F%2F%2F%2F%2F%2FwEaCXVzLWVhc3QtMSJGMEQCIBuVJSXFo7hvVII1%2BDG5bJI04mz7uMSN%2BGBBaKwJF7PPAiBoKDZF8OPqaGBOXbIQs6Vd09Xjm2B%2FeLWoCs79rmXuRyq8BQie%2F%2F%2F%2F%2F%2F%2F%2F%2F%2F8BEAUaDDA1OTAwMzU0Njg2NSIM%2FQ59ZNpq0ERsukB9KpAFU5FN4HTxcnEPgxaDs7cT7qkrEE%2By38XKocA8i15FxBx0rNVOIJzb6%2BoGulzJegJqY7Nz7lBMxsFtCj6TgRqZSFR%2FlV4B602eWptjwvbz4LQ80d1rouvLrp%2FpLgTM0aBP42yfGE2BrqzfSNvO%2Fu9cbdM067%2B6wDMh%2FlUfLCL0E7t7ZWYcbSxuLPKFQYmSTY3rHqV57HIC9nMEj0j3afOX%2FUtpveZnoFSukNvLeUaslLe17v%2BHb8s9vXUhSsWsVZTDiNuPmsVQ6eadGnCbeBmxSFpXX5cSW%2FwNrInCcS388sJh4rXU4XyI%2BiMPX5rU0Fxm0ttFzMp4SJ6ixu543NnVz2glS%2FxTPcORH58a6XfVz90RGLC0xQGqLo7TU2OmfnuniISksAfLOd42NRfn7kze2Vl%2FnZ8DWHXqCcLTLRH53yMEEBIjvrg5TI5G%2BSQMSefscLGXMSmHCCp0sJGAxayGK%2FnVjljeynXiNHljmJDEl8FV6Qnb9Xm%2FOfzsQDTc7T5AUBJoby0hCOINZRxG4ke5sdXZujsoCwarwMhr16OkABkYuRaoHr1vnHSzjiDeHM68XazgODtw1pDLGOQgbDHzSdit9baB%2Fxkm1x75LwIYDeqVzhPyS1Cz6PaLmTpzbK1JR8cxIyqfc9%2FCOk9yLTfXMEvfaq47vUOLAeqKrOCA9NnHuAha2fHcHH8ZHcCVQh4ZcjkXZYVzJVsDwcw%2FrgnqNB5%2F2nIh3BDJ8HwLS%2FdlU0YuPPd5NLHeqWXaQ02VflcoFcDoRju1gJDLR3bo8PDMcL%2B19DRHS7A66TDJaJbLyONaPhVK%2B8hnaZ10Ji2H8KujoTMBRPymAUHYc9DwTJdu1m8h8VJPhvw9mNh228sNC5MwwLi%2B0gY6sgHdBl5pQs8b5V2wex%2Bx7SV%2BofzcbBGqZyTYHvBNluALq6q7w0S9WhkHP1FI27t0fRRtO851ij0TU13uESz1Kr3dVvu4G21l%2BivwbzkJ7IiSL25jA%2Ba99QzQ6vAgVaFWwri2ucpTIoPUt77mQUDB3HiotTaFqwJ1yPXezHjPx5f%2FwbZD8PvPGsgX3DcjPXUm9yDBQafmGzjBzCDPMtksfp533R%2BXBM5qecJvdnJp31CBcVJX&amp;X-Amz-Algorithm=AWS4-HMAC-SHA256&amp;X-Amz-Date=20260709T140006Z&amp;X-Amz-SignedHeaders=host&amp;X-Amz-Expires=300&amp;X-Amz-Credential=ASIAQ3PHCVTY4HQ6GMNE%2F20260709%2Fus-east-1%2Fs3%2Faws4_request&amp;X-Amz-Signature=0fa635ea99c35df63f074ecb817c4354eed272ea7fbb28b3fb03c5759f1686b1&amp;hash=edf984cb5b012c5c891df5193caf104d31b877bd65edc79cf4b0e7d744c9d0fd&amp;host=68042c943591013ac2b2430a89b270f6af2c76d8dfd086a07176afe7c76c2c61&amp;pii=S1877750323001382&amp;tid=spdf-78388483-c3ca-4830-881c-06bc45505a4b&amp;sid=b2e563464e1f07492109f258e9affdb4741bgxrqb&amp;type=client&amp;tsoh=d3d3LnNjaWVuY2VkaXJlY3QuY29t&amp;rh=d3d3LnNjaWVuY2VkaXJlY3QuY29t&amp;ua=0b0700555f59040f58&amp;rr=a187da62ae20e0d5&amp;cc=de</t>
  </si>
  <si>
    <t>in the trace the segment from 1630 to 1730 are AES and from 550 to 650 are PRESENT. For AES they have 10000 time samples(they select a 1000 subset) and for PRESENT they have 2500 tiem smaple and select a 110 subset). You need a gitewe accoun tot download them</t>
  </si>
  <si>
    <t xml:space="preserve">Sakura G </t>
  </si>
  <si>
    <t>Xilinx Spartan-6</t>
  </si>
  <si>
    <t>SAKURA-G</t>
  </si>
  <si>
    <t>FPGA</t>
  </si>
  <si>
    <t>Verified board/family</t>
  </si>
  <si>
    <t>The original value named only the board. Added the FPGA family and kept SAKURA-G as the board.</t>
  </si>
  <si>
    <t>https://github.com/Chair-for-Security-Engineering/DL-LA</t>
  </si>
  <si>
    <t>Hardware</t>
  </si>
  <si>
    <t>AES HD</t>
  </si>
  <si>
    <t>EM</t>
  </si>
  <si>
    <t>AES-128</t>
  </si>
  <si>
    <t>Xilinx Virtex-5 FPGA</t>
  </si>
  <si>
    <t>npy</t>
  </si>
  <si>
    <t>https://tches.iacr.org/index.php/TCHES/article/view/7339</t>
  </si>
  <si>
    <t>SASEBO FII FPGA</t>
  </si>
  <si>
    <t>Xilinx Virtex-5</t>
  </si>
  <si>
    <t>SASEBO-GII</t>
  </si>
  <si>
    <t>Verified family</t>
  </si>
  <si>
    <t>Corrected SASEBO-FII to SASEBO-GII. AES-HD is reported as a Virtex-5 implementation on SASEBO-GII.</t>
  </si>
  <si>
    <t xml:space="preserve">AES HD ext </t>
  </si>
  <si>
    <t xml:space="preserve">h5, npz </t>
  </si>
  <si>
    <t xml:space="preserve">I cannot find a working link, probably need to ask stjepan </t>
  </si>
  <si>
    <t>AES HD git</t>
  </si>
  <si>
    <t>yes</t>
  </si>
  <si>
    <t>fixed</t>
  </si>
  <si>
    <t>csv</t>
  </si>
  <si>
    <t>https://github.com/AESHD/AES_HD_Dataset</t>
  </si>
  <si>
    <t xml:space="preserve">no preprocessing </t>
  </si>
  <si>
    <t>AES HD zaid</t>
  </si>
  <si>
    <t>25000(attack) 5000 (val)</t>
  </si>
  <si>
    <t>https://github.com/gabzai/Methodology-for-efficient-CNN-architectures-in-SCA/blob/master/AES_HD/AES_HD_dataset.zip</t>
  </si>
  <si>
    <t>it has preprocessing</t>
  </si>
  <si>
    <t xml:space="preserve">AES PTv2 Piñata </t>
  </si>
  <si>
    <t>fixed (10000) random (50000)</t>
  </si>
  <si>
    <t>Riscure Piñata STM32F4 (exact part not disclosed)</t>
  </si>
  <si>
    <t>hdf5</t>
  </si>
  <si>
    <t>https://drive.google.com/file/d/1n8KQuq-giq2ZJvCLzBL_L-2zlq-nDk-q/view</t>
  </si>
  <si>
    <t>https://github.com/urioja/AESPTv2</t>
  </si>
  <si>
    <t>D1/D2/D3/D4 have the same measurements on four identical devices. For each of these device (and the Piniata) we have no countermeasure(fixed, random), masking scheme MS1(fixed, random), masking scheme MS2(fixed, random)</t>
  </si>
  <si>
    <t>Riscure Piñata STM32F4 Cortex-M4F</t>
  </si>
  <si>
    <t>Arm Cortex-M4F</t>
  </si>
  <si>
    <t>Riscure Piñata</t>
  </si>
  <si>
    <t>Microcontroller</t>
  </si>
  <si>
    <t>Separated target family, architecture and commercial board.</t>
  </si>
  <si>
    <t>Software</t>
  </si>
  <si>
    <t>AES PTv2 Piñata MS1</t>
  </si>
  <si>
    <t>fixed (50000) random (150000)</t>
  </si>
  <si>
    <t>masking scheme MS1</t>
  </si>
  <si>
    <t>AES PTv2 Piñata MS2</t>
  </si>
  <si>
    <t>fixed (100000) random (200000)</t>
  </si>
  <si>
    <t>masking scheme MS2</t>
  </si>
  <si>
    <t xml:space="preserve">AES PTv2 STM32F4-D1/2/3/4 </t>
  </si>
  <si>
    <t>Four STM32F4 devices (D1-D4; exact parts not disclosed)</t>
  </si>
  <si>
    <t>D1: https://drive.google.com/file/d/1xDY3-xJ2GodaY2-qgsKm1_LrH7GxkIcr/view D2: https://drive.google.com/file/d/1FLNX9h957BgaR0Op1-ZR8X7xweTxqACm/view D3: https://drive.google.com/file/d/1MuJD3lMD-WJvMQZ70LHVJx50RlWu4CPD/view D4: https://drive.google.com/file/d/1e6YQGhTb7cYYeeUskMLiT75GAQW2mT0r/view</t>
  </si>
  <si>
    <t xml:space="preserve">STM32F4-D1/2/3/4 </t>
  </si>
  <si>
    <t>AES-PTv2 devices D1, D2, D3 and D4</t>
  </si>
  <si>
    <t>Multiple microcontrollers</t>
  </si>
  <si>
    <t>Verified multiple devices</t>
  </si>
  <si>
    <t>The row aggregates four devices. D1-D4 are dataset identifiers, not MCU model numbers; do not present them as chip models.</t>
  </si>
  <si>
    <t>https://github.com/urioja/AESPTv2/blob/main/README.md</t>
  </si>
  <si>
    <t>AES PTv2 STM32F4-D1/2/3/4 MS1</t>
  </si>
  <si>
    <t>AES PTv2 STM32F4-D1/2/3/4 MS2</t>
  </si>
  <si>
    <t>AES RD</t>
  </si>
  <si>
    <t>Microchip ATmega16</t>
  </si>
  <si>
    <t>random delays</t>
  </si>
  <si>
    <t>mat</t>
  </si>
  <si>
    <t>https://github.com/ikizhvatov/randomdelays-traces</t>
  </si>
  <si>
    <t>https://www.iacr.org/archive/ches2009/57470156/57470156.pdf https://www.iacr.org/archive/ches2010/62250090/62250090.pdf thesis with acquisition and implementation details https://orbilu.uni.lu/bitstream/10993/15446/1/Kizhvatov-Thesis.pdf</t>
  </si>
  <si>
    <t>Atmel Atmega 16</t>
  </si>
  <si>
    <t>8-bit AVR</t>
  </si>
  <si>
    <t>Custom target board</t>
  </si>
  <si>
    <t>Verified exact model</t>
  </si>
  <si>
    <t>Standardized Atmel Atmega 16 to Microchip ATmega16.</t>
  </si>
  <si>
    <t xml:space="preserve">ASCAD raw </t>
  </si>
  <si>
    <t>power</t>
  </si>
  <si>
    <t>Microchip ATmega8515</t>
  </si>
  <si>
    <t>h5</t>
  </si>
  <si>
    <t>https://github.com/ANSSI-FR/ASCAD</t>
  </si>
  <si>
    <t>https://eprint.iacr.org/2018/053</t>
  </si>
  <si>
    <t>ATMEGA8515</t>
  </si>
  <si>
    <t>ASCAD ATMEGA_AES_v1 target</t>
  </si>
  <si>
    <t>Standardized capitalization and manufacturer name.</t>
  </si>
  <si>
    <t>ASCADf</t>
  </si>
  <si>
    <t>first order boolean masking</t>
  </si>
  <si>
    <t>ASCADv</t>
  </si>
  <si>
    <t xml:space="preserve">random </t>
  </si>
  <si>
    <t xml:space="preserve">first order boolean masking </t>
  </si>
  <si>
    <t>ASCADv2</t>
  </si>
  <si>
    <t>STMicroelectronics STM32F303RCT7</t>
  </si>
  <si>
    <t>masking + shuffling</t>
  </si>
  <si>
    <t>https://github.com/ANSSI-FR/ASCAD/tree/master/STM32_AES_v2</t>
  </si>
  <si>
    <t>https://eprint.iacr.org/2021/592.pdf</t>
  </si>
  <si>
    <t>STM32 Cortex M4</t>
  </si>
  <si>
    <t>Arm Cortex-M4</t>
  </si>
  <si>
    <t>ChipWhisperer CW308T-STM32F</t>
  </si>
  <si>
    <t>Replaced the CPU-core-only entry with the exact MCU reported by the official ASCADv2 README.</t>
  </si>
  <si>
    <t>https://github.com/ANSSI-FR/ASCAD/blob/master/STM32_AES_v2/Readme.md</t>
  </si>
  <si>
    <t>ASCADv2r</t>
  </si>
  <si>
    <t xml:space="preserve">ASCON protected </t>
  </si>
  <si>
    <t>ASCON-128</t>
  </si>
  <si>
    <t xml:space="preserve">random(profiling), fixed(attack) </t>
  </si>
  <si>
    <t>STMicroelectronics STM32F4 (exact part not disclosed)</t>
  </si>
  <si>
    <t>first-order Domain-Oriented Masking</t>
  </si>
  <si>
    <t>https://zenodo.org/records/10229485</t>
  </si>
  <si>
    <t>https://eprint.iacr.org/2023/1598.pdf</t>
  </si>
  <si>
    <t xml:space="preserve"> STM32F4 </t>
  </si>
  <si>
    <t>ChipWhisperer STM32F4 target board</t>
  </si>
  <si>
    <t>The repository specifies a ChipWhisperer STM32F4 target but not a reliable exact MCU part in the workbook source.</t>
  </si>
  <si>
    <t>https://zenodo.org/records/10229484</t>
  </si>
  <si>
    <t xml:space="preserve">ASCON unprotected </t>
  </si>
  <si>
    <t>ASCON unprotected raw</t>
  </si>
  <si>
    <t>AT128 N &amp; F desync</t>
  </si>
  <si>
    <t>random/variable (simulated), not fixed-key</t>
  </si>
  <si>
    <t>Microchip ATmega128A</t>
  </si>
  <si>
    <t>https://github.com/lxj-sjtu/TCHES2021_Pay_attention_to_the_raw_traces</t>
  </si>
  <si>
    <t>https://tches.iacr.org/index.php/TCHES/article/view/8974</t>
  </si>
  <si>
    <t>ATmega128A</t>
  </si>
  <si>
    <t>AT128 acquisition target</t>
  </si>
  <si>
    <t>Standardized manufacturer and part-name capitalization.</t>
  </si>
  <si>
    <t>AT128 N &amp; F sync</t>
  </si>
  <si>
    <t xml:space="preserve">same acquistion for these two datasets, but one is near(n) and one is far (f: more redundat NOP(commands the processor to do nothing for one or more clock cycles) instructions to make the leakage of each byte more far apart). N and F are two distinc dataset, each has 200000 traces. so in total 4 datasets(N desync F desync F desyn, F sync each with 200000 traces) </t>
  </si>
  <si>
    <t xml:space="preserve">BLISS A </t>
  </si>
  <si>
    <t>GALACTIS (bliss)</t>
  </si>
  <si>
    <t>STMicroelectronics STM32F4 (exact part not confirmed)</t>
  </si>
  <si>
    <t>bin, pickle</t>
  </si>
  <si>
    <t>https://zenodo.org/records/5101343</t>
  </si>
  <si>
    <t>https://dl.acm.org/doi/10.1145/3538969.3538980</t>
  </si>
  <si>
    <t>STM32F4</t>
  </si>
  <si>
    <t>STM32F4 target platform</t>
  </si>
  <si>
    <t>The paper demonstrates GALACTICS on Cortex-M4; the workbook/source supports STM32F4 family but not a dependable exact part here.</t>
  </si>
  <si>
    <t>BLISS B</t>
  </si>
  <si>
    <t>Chamaleon BASE</t>
  </si>
  <si>
    <t>random (256 keys, first byte varies)</t>
  </si>
  <si>
    <t>Chameleon 32-bit RISC-V system-on-chip</t>
  </si>
  <si>
    <t>https://github.com/hardware-fab/chameleon</t>
  </si>
  <si>
    <t>https://tches.iacr.org/index.php/TCHES/article/view/12221/12028</t>
  </si>
  <si>
    <t>32-bit RISC-V System-on-Chip</t>
  </si>
  <si>
    <t>32-bit RISC-V</t>
  </si>
  <si>
    <t>Chameleon research SoC platform</t>
  </si>
  <si>
    <t>SoC</t>
  </si>
  <si>
    <t>Verified platform</t>
  </si>
  <si>
    <t>Normalized the project/platform name. The exact core or fabricated device should be added only when explicitly stated in the paper.</t>
  </si>
  <si>
    <t>Chamaleon CHF</t>
  </si>
  <si>
    <t>chaffing</t>
  </si>
  <si>
    <t>Chamaleon DFS</t>
  </si>
  <si>
    <t xml:space="preserve">dynamic frequency scaling </t>
  </si>
  <si>
    <t>Chamaleon MRP</t>
  </si>
  <si>
    <t xml:space="preserve">morphing </t>
  </si>
  <si>
    <t>Chamaleon RD</t>
  </si>
  <si>
    <t>Partially variable key: Only the first byte of the 128-bit AES key varies across the dataset (256 possible values), while the remaining 15 bytes remain fixed. Thus, the dataset is variable-key, but not fully random-key</t>
  </si>
  <si>
    <t xml:space="preserve">CHES CTF 2018 aisylab </t>
  </si>
  <si>
    <t>Riscure CHES CTF 2018 Device D (exact MCU not disclosed)</t>
  </si>
  <si>
    <t xml:space="preserve">1st order XOR boolean masking </t>
  </si>
  <si>
    <t>https://www.dropbox.com/scl/fi/98yxftt29sxcpu7c6c06c/ches_ctf.h5?rlkey=nk524nlgwiestp3bp1dikbr9j&amp;e=2&amp;dl=0</t>
  </si>
  <si>
    <t>https://eprint.iacr.org/2021/357.pdf?__cf_chl_f_tk=PoXFhO3vAkgm35uR9cmi7IzUvQUbbnmmCc0I5EDfLjY-1783344699-1.0.1.1-q3_Lx9heaimNI5nd48TM.430JhYLZmXa1mljG9iL2RU</t>
  </si>
  <si>
    <t xml:space="preserve"> 32-bit STM microcontroller</t>
  </si>
  <si>
    <t>Riscure Device D</t>
  </si>
  <si>
    <t>Verified core only</t>
  </si>
  <si>
    <t>The public dataset description identifies Device D and a 168 MHz Cortex-M4F CPU, but does not disclose a dependable exact STM32 part number. Avoid inventing one.</t>
  </si>
  <si>
    <t>https://zenodo.org/records/3733418</t>
  </si>
  <si>
    <t>CHES CTF 2018 challenge 2</t>
  </si>
  <si>
    <t xml:space="preserve">random keys + 3 fixed </t>
  </si>
  <si>
    <t>trs</t>
  </si>
  <si>
    <t xml:space="preserve">CHES CTF 2018 original </t>
  </si>
  <si>
    <t>CHES CTF 2020f HW (Spook SCA ctf)</t>
  </si>
  <si>
    <t>Clyde-128</t>
  </si>
  <si>
    <t>105M</t>
  </si>
  <si>
    <t>30M</t>
  </si>
  <si>
    <t>75M</t>
  </si>
  <si>
    <t>ISW masking</t>
  </si>
  <si>
    <t>npz</t>
  </si>
  <si>
    <t>https://dataverse.uclouvain.be/dataset.xhtml?persistentId=doi:10.14428/DVN/W2SV5G https://ctf.spook.dev</t>
  </si>
  <si>
    <t>hardware https://github.com/uclcrypto/spook-masked-hardware?utm_source=chatgpt.com, software https://git-crypto.elen.ucl.ac.be/spook/masked_spook_sw/-/tree/ctf_release_0?utm_source=chatgpt.com</t>
  </si>
  <si>
    <t xml:space="preserve">there 7 different targets; 3 hardware (hw2, hw3, hw4) and software (sw3, sw4, sw6, sw8). Metadata also includes nonces </t>
  </si>
  <si>
    <t>hardware Sakura G board, software  STM32 F0 Cortex-M0 Discovery board</t>
  </si>
  <si>
    <t>Corrected a mixed hardware/software entry. This row is the hardware FPGA target only.</t>
  </si>
  <si>
    <t>https://github.com/uclcrypto/spook-masked-hardware</t>
  </si>
  <si>
    <t>CHES CTF 2020f SW (Spook SCA ctf)</t>
  </si>
  <si>
    <t>280M</t>
  </si>
  <si>
    <t>2M</t>
  </si>
  <si>
    <t>STMicroelectronics STM32F030 (family)</t>
  </si>
  <si>
    <t>there 7 different targets; 3 hardware (hw2, hw3, hw4) and software (sw3, sw4, sw6, sw8). Metadata also includes nonces. For each hw targetthere are 10M profiling traces and 25M attack, foe aach sw targte there are 200k profiling traces and 500k</t>
  </si>
  <si>
    <t>Arm Cortex-M0</t>
  </si>
  <si>
    <t>STM32F0 Discovery board</t>
  </si>
  <si>
    <t>Corrected a mixed hardware/software entry. This row is the software target only.</t>
  </si>
  <si>
    <t>https://git-crypto.elen.ucl.ac.be/spook/masked_spook_sw/-/tree/ctf_release_0</t>
  </si>
  <si>
    <t>CrossEM</t>
  </si>
  <si>
    <t>Microchip ATxmega128D4 and STMicroelectronics STM32F303 (multiple boards/devices)</t>
  </si>
  <si>
    <t>https://github.com/UCdasec/CrossEM</t>
  </si>
  <si>
    <t>https://dl.acm.org/doi/10.1145/3678890.3678900</t>
  </si>
  <si>
    <t xml:space="preserve">3 million traces deom 9 probe locations ovr 4 targets, (two XMEGA(X1, X2) and two STM32F3(S1,S2)). For each target 9 different acquistion, each of these with 150j traces, for a total of 3million Preprocessing available </t>
  </si>
  <si>
    <t>XMEGA and STM32F3</t>
  </si>
  <si>
    <t>8-bit AVR XMEGA; Arm Cortex-M4</t>
  </si>
  <si>
    <t>ChipWhisperer XMEGA and STM32F3 targets</t>
  </si>
  <si>
    <t>Verified multiple families</t>
  </si>
  <si>
    <t>The dataset is explicitly cross-target. Replaced the vague XMEGA/STM32F3 wording with normalized families; confirm exact board revisions from the repository metadata if needed.</t>
  </si>
  <si>
    <t>Curve25519 CSWAP-pointer</t>
  </si>
  <si>
    <t>Curve25519</t>
  </si>
  <si>
    <t>Random scalar (new random scalar for every ECSM execution)</t>
  </si>
  <si>
    <t>Constant-time Montgomery ladder, coordinate re-randomization, random scalar for every execution</t>
  </si>
  <si>
    <t>https://www.dropbox.com/scl/fi/cpoaco0zwmgzdarj2427p/ecc_datasets.zip?rlkey=d71qkr0fdlkmtwmxohwezsxln&amp;e=1&amp;dl=0</t>
  </si>
  <si>
    <t>https://eprint.iacr.org/2017/1204.pdf?__cf_chl_f_tk=7cNcJtsaJYGrersP1FfmaDRJFDtaavpWlJJqAZI7qCE-1782912247-1.0.1.1-oRJCF7gi9Yd0qH17s_I02cCxL6.EbSyiqno0zL07rA0</t>
  </si>
  <si>
    <t xml:space="preserve"> 32-bit ARM Cortex-M4F</t>
  </si>
  <si>
    <t>The paper/dataset supports STM32F4/Cortex-M4F, but the workbook source does not justify a more specific part.</t>
  </si>
  <si>
    <t>https://eprint.iacr.org/2017/1204.pdf</t>
  </si>
  <si>
    <t>curve25519cswap-arith</t>
  </si>
  <si>
    <t xml:space="preserve">each of the 300 traces hs 70M time samples, wich are cut into 255 iteration resulting in 76500 iteration traces </t>
  </si>
  <si>
    <t>DFS_DESYNCH</t>
  </si>
  <si>
    <t>First key byte varies (256 values); remaining 15 bytes fixed</t>
  </si>
  <si>
    <t>dynamic frequency scaling</t>
  </si>
  <si>
    <t>https://huggingface.co/datasets/hardware-fab/DFS_DESYNCH</t>
  </si>
  <si>
    <t>https://ieeexplore.ieee.org/document/10713265</t>
  </si>
  <si>
    <t>preprocessed traces</t>
  </si>
  <si>
    <t>Normalized to the same target taxonomy as the related Chameleon datasets.</t>
  </si>
  <si>
    <t xml:space="preserve">Dilithum 2025 A </t>
  </si>
  <si>
    <t xml:space="preserve">Dilithum </t>
  </si>
  <si>
    <t>Unspecified Cortex-M4 microcontroller</t>
  </si>
  <si>
    <t>https://www.scidb.cn/en/detail?dataSetId=aa3512fdbc294719af4663757fc28468</t>
  </si>
  <si>
    <t>Cortex M4</t>
  </si>
  <si>
    <t>Not reported in workbook source</t>
  </si>
  <si>
    <t>Needs exact model</t>
  </si>
  <si>
    <t>Corrected the dataset spelling only in notes; the source currently supports the CPU core but not an exact MCU in this audit.</t>
  </si>
  <si>
    <t>DPAv1.1</t>
  </si>
  <si>
    <t>DES</t>
  </si>
  <si>
    <t>SecMat v1 system-on-chip</t>
  </si>
  <si>
    <t>bin</t>
  </si>
  <si>
    <t>https://dpacontest.telecom-paris.fr/tables.php</t>
  </si>
  <si>
    <t>https://dpacontest.telecom-paris.fr/home/index.html</t>
  </si>
  <si>
    <t xml:space="preserve">SecmatV1 ASIC </t>
  </si>
  <si>
    <t>Proprietary SoC architecture</t>
  </si>
  <si>
    <t>SecMat v1 evaluation platform</t>
  </si>
  <si>
    <t>ASIC</t>
  </si>
  <si>
    <t>Original value was essentially correct; normalized the SecMat capitalization and separated implementation class.</t>
  </si>
  <si>
    <t>Needs verification</t>
  </si>
  <si>
    <t>DPAv1.2</t>
  </si>
  <si>
    <t>SecMat v3 system-on-chip</t>
  </si>
  <si>
    <t>SecmatV3 ASIC</t>
  </si>
  <si>
    <t>SecMat v3 evaluation platform</t>
  </si>
  <si>
    <t>Original value was essentially correct; normalized naming.</t>
  </si>
  <si>
    <t>DPAv1.3</t>
  </si>
  <si>
    <t>SecmatV3 FPGA</t>
  </si>
  <si>
    <t>Altera Stratix FPGA</t>
  </si>
  <si>
    <t>SecMat v3 FPGA platform</t>
  </si>
  <si>
    <t>The dataset is the FPGA implementation of SecMat v3; the published description identifies an Altera Stratix FPGA but not a more specific part in the cited overview.</t>
  </si>
  <si>
    <t>https://github.com/ITSC-Group/sca-datasets</t>
  </si>
  <si>
    <t>DPAv2</t>
  </si>
  <si>
    <t xml:space="preserve">one ASCII trace file for each trace </t>
  </si>
  <si>
    <t>https://dpacontest.telecom-paris.fr/v2/tables.php</t>
  </si>
  <si>
    <t>https://link.springer.com/article/10.1007/s13389-014-0075-9</t>
  </si>
  <si>
    <t>SASEBO GII FPGA</t>
  </si>
  <si>
    <t>Changed from board-only/mixed wording. SASEBO-GII is the board; the cryptographic target is a Virtex-5 FPGA.</t>
  </si>
  <si>
    <t>DPAv4.1</t>
  </si>
  <si>
    <t>AES-256</t>
  </si>
  <si>
    <t>Microchip ATmega163</t>
  </si>
  <si>
    <t>first order masking RMS</t>
  </si>
  <si>
    <t>trc</t>
  </si>
  <si>
    <t>https://dpacontest.telecom-paris.fr/v4/rsm_traces.php</t>
  </si>
  <si>
    <t>ATMega-163</t>
  </si>
  <si>
    <t>DPA Contest v4 target board</t>
  </si>
  <si>
    <t>Standardized ATMega-163 to the manufacturer-style spelling ATmega163.</t>
  </si>
  <si>
    <t>DPAv4.2</t>
  </si>
  <si>
    <t>16 fixed keys</t>
  </si>
  <si>
    <t>https://dpacontest.telecom-paris.fr/v4/42_traces.php</t>
  </si>
  <si>
    <t xml:space="preserve">eShard non shuffled </t>
  </si>
  <si>
    <t>STMicroelectronics STM32F446RE</t>
  </si>
  <si>
    <t>ets</t>
  </si>
  <si>
    <t>https://gitlab.com/eshard/nucleo_sw_aes_masked_shuffled</t>
  </si>
  <si>
    <t>https://link.springer.com/article/10.1007/s13389-022-00307-9</t>
  </si>
  <si>
    <t>STM32F446 32-bit microc</t>
  </si>
  <si>
    <t>NUCLEO-F446RE</t>
  </si>
  <si>
    <t>Separated the exact MCU from the Nucleo board and normalized the part number.</t>
  </si>
  <si>
    <t xml:space="preserve">eShard shuffled </t>
  </si>
  <si>
    <t xml:space="preserve">shuffling </t>
  </si>
  <si>
    <t xml:space="preserve"> STM32F446 32-bit microc</t>
  </si>
  <si>
    <t xml:space="preserve">Ge_wars </t>
  </si>
  <si>
    <t xml:space="preserve">randoms + fixed </t>
  </si>
  <si>
    <t>Broadcom BCM2711 system-on-chip</t>
  </si>
  <si>
    <t>https://drive.google.com/drive/folders/1JGbphwZXQvN_tEhpBIbQ-q-pN9wkqKQ-</t>
  </si>
  <si>
    <t>https://eprint.iacr.org/2024/1381</t>
  </si>
  <si>
    <t xml:space="preserve">they 3 targets and depedning from that the traces have different length (S trace: standalone unprotected aes sbox execution, 5000. F trace; full aes128 encryption, 7000. M trace; first order masked aes sbox execution, 1200.) </t>
  </si>
  <si>
    <t>ARM Cortex-A72</t>
  </si>
  <si>
    <t>Arm Cortex-A72</t>
  </si>
  <si>
    <t>Raspberry Pi 4 Model B</t>
  </si>
  <si>
    <t>Replaced CPU-core-only wording with the commonly reported Raspberry Pi 4/BCM2711 target; verify board revision in the paper if required.</t>
  </si>
  <si>
    <t xml:space="preserve">Kyber </t>
  </si>
  <si>
    <t xml:space="preserve">CRISTAL-Kyber </t>
  </si>
  <si>
    <t>STMicroelectronics STM32F3 (exact part not confirmed)</t>
  </si>
  <si>
    <t>https://zenodo.org/records/15352482</t>
  </si>
  <si>
    <t>https://eprint.iacr.org/2025/811</t>
  </si>
  <si>
    <t>STM32F3</t>
  </si>
  <si>
    <t>STM32F3 target platform</t>
  </si>
  <si>
    <t>Normalized the STM32F3 family and architecture; exact part should come from the dataset record or paper experimental section.</t>
  </si>
  <si>
    <t>Piñata SW AES</t>
  </si>
  <si>
    <t>1000(attack) 1000(val)</t>
  </si>
  <si>
    <t>https://pure.tudelft.nl/ws/portalfiles/portal/85605175/8686_Article_Text_5328_1_10_20200826.pdf?utm_source=chatgpt.com</t>
  </si>
  <si>
    <t xml:space="preserve">32-bit STM microcontroller </t>
  </si>
  <si>
    <t>Changed generic STM wording to the documented Piñata STM32F4 family while avoiding an unsupported exact part.</t>
  </si>
  <si>
    <t>https://pure.tudelft.nl/ws/portalfiles/portal/85605175/8686_Article_Text_5328_1_10_20200826.pdf</t>
  </si>
  <si>
    <t xml:space="preserve">Portability </t>
  </si>
  <si>
    <t>Microchip ATmega328P (multiple physical devices)</t>
  </si>
  <si>
    <t xml:space="preserve">mat </t>
  </si>
  <si>
    <t>https://zenodo.org/records/19060677</t>
  </si>
  <si>
    <t>https://eprint.iacr.org/2019/661.pdf</t>
  </si>
  <si>
    <t>this dataset is heavly focused in portability so they have the same acquisition setup for 4 different boards(same model) B1, B2, B2, B4. for each board they measured 50000 traces (each associated with one random plaitext) with three randomly chosen key(so two devices share the same key). c1_k1: 50144 x 2500, c2_k1: 53664 x 2500, c2_k2: 46783 x 2500 ,c3_k1: 49885 x 2500, c4_k1: ,49813 x 2500, c4_k1_A: 50666 x 2500 , c4_k3: 50433 x 2500. they say they used 600 time sampe, but probably that is after preprocessing because the dataset as it is it has 2500</t>
  </si>
  <si>
    <t>Atmega328p</t>
  </si>
  <si>
    <t>Multiple ChipWhisperer target instances</t>
  </si>
  <si>
    <t>Standardized capitalization and marked that the cross-device dataset contains multiple specimens of the same MCU model.</t>
  </si>
  <si>
    <t>PRESENT 2021 1</t>
  </si>
  <si>
    <t xml:space="preserve">PRESENT </t>
  </si>
  <si>
    <t>dat</t>
  </si>
  <si>
    <t>https://eprint.iacr.org/2019/505.pdf</t>
  </si>
  <si>
    <t>there is no metada availabel becasue the goal of this dataset was to being used for leakage assement not key recvory, the authors wanted to answer the question: Can I statistically distinguish two classes of measurements?</t>
  </si>
  <si>
    <t>PRESENT 2021 2</t>
  </si>
  <si>
    <t xml:space="preserve">misaligned </t>
  </si>
  <si>
    <t>PRESENT 2021 3</t>
  </si>
  <si>
    <t>heavly misaligned (randomized clock)</t>
  </si>
  <si>
    <t>PRESENT 2021 4</t>
  </si>
  <si>
    <t>PRESENT 2021 5</t>
  </si>
  <si>
    <t>PRESENT 2021 6</t>
  </si>
  <si>
    <t>PRESENT 2021 7</t>
  </si>
  <si>
    <t>PRESENT 2021 8</t>
  </si>
  <si>
    <t>PRESENT 2021 9</t>
  </si>
  <si>
    <t>PRESENT 2023</t>
  </si>
  <si>
    <t>Re-encryption AESa</t>
  </si>
  <si>
    <t>Multiple Fujisaki–Okamoto (FO)-based Post-Quantum KEMs</t>
  </si>
  <si>
    <t>Xilinx Kintex-7 FPGA</t>
  </si>
  <si>
    <t>https://github.com/ECSIS-lab/curse_of_re-encryption/tree/main/distinguish_attack</t>
  </si>
  <si>
    <t>https://eprint.iacr.org/2021/849.pdf</t>
  </si>
  <si>
    <t>Xilinx Kintex-7</t>
  </si>
  <si>
    <t>FPGA target A</t>
  </si>
  <si>
    <t>Kintex-7 is a family; retain family level unless the paper gives the full part number.</t>
  </si>
  <si>
    <t>Re-encryption AESb</t>
  </si>
  <si>
    <t>STMicroelectronics STM32F407VGT6</t>
  </si>
  <si>
    <t>masking</t>
  </si>
  <si>
    <t>STM32F407VGT6U</t>
  </si>
  <si>
    <t>Custom STM32 target board</t>
  </si>
  <si>
    <t>Normalized manufacturer and architecture.</t>
  </si>
  <si>
    <t>Re-encryption AESc</t>
  </si>
  <si>
    <t xml:space="preserve">masking </t>
  </si>
  <si>
    <t>FPGA target C</t>
  </si>
  <si>
    <t>Re-encryption AESd</t>
  </si>
  <si>
    <t>Device not resolved from workbook</t>
  </si>
  <si>
    <t>Not resolved</t>
  </si>
  <si>
    <t>Unknown</t>
  </si>
  <si>
    <t>The original workbook had no device. The cited paper/repository must be checked at experiment/table level before filling this field; no guess was inserted.</t>
  </si>
  <si>
    <t xml:space="preserve">Re-encryption NRTP </t>
  </si>
  <si>
    <t xml:space="preserve">Re-encryption SHAKE </t>
  </si>
  <si>
    <t>STMicroelectronics STM32F415RGT6</t>
  </si>
  <si>
    <t>STM32F415RGT6</t>
  </si>
  <si>
    <t>Standardized manufacturer and architecture.</t>
  </si>
  <si>
    <t>reassure curve25519</t>
  </si>
  <si>
    <t>random(cswap condition bit for one Montgomery ladder iteration)</t>
  </si>
  <si>
    <t>Microchip ATmega328P</t>
  </si>
  <si>
    <t>Projective-coordinate re-randomization + scalar randomization</t>
  </si>
  <si>
    <t>https://zenodo.org/records/3609789</t>
  </si>
  <si>
    <t>https://eprint.iacr.org/2016/923.pdf</t>
  </si>
  <si>
    <t xml:space="preserve">Each stored trace corresponds to a single Montgomery ladder iteration (5997 samples) rather than a complete scalar multiplication. For the 100 trace dataset this reuslts in 25500(100x255) traces, while for the full 5997 dataset this means 1529235 (5997x255) trace. each segmented trace is labeled only with the corresponding montgomery ladder cswap condotion bit, stored in legacy data; classification therefore preditcs one scalar dependent bit per segment, not the full key directly </t>
  </si>
  <si>
    <t>ATmega328P</t>
  </si>
  <si>
    <t>ChipWhisperer target platform</t>
  </si>
  <si>
    <t>Standardized capitalization and manufacturer.</t>
  </si>
  <si>
    <t>SCAAML ECC M0</t>
  </si>
  <si>
    <t xml:space="preserve">ECC scalar multiplcation </t>
  </si>
  <si>
    <t xml:space="preserve">random ephemeral </t>
  </si>
  <si>
    <t>NXP Kinetis K82F (exact ordering code not confirmed)</t>
  </si>
  <si>
    <t xml:space="preserve">constant time only </t>
  </si>
  <si>
    <t>https://github.com/google/scaaml/tree/main/papers/2024/GPAM</t>
  </si>
  <si>
    <t>https://arxiv.org/abs/2306.07249</t>
  </si>
  <si>
    <t xml:space="preserve">the val is the sum of test (8192) and houldout (8192) for all 4 datasets. the metadat includes; secret scalar, random masks, masked intermediate variable and quotien variable(for multiplicative masking). The dowloadig process takes for ever </t>
  </si>
  <si>
    <t>CW308T-K82F</t>
  </si>
  <si>
    <t>ChipWhisperer CW308T-K82F</t>
  </si>
  <si>
    <t>CW308T-K82F is the target board, not the chip. Separated the K82F MCU family from the board.</t>
  </si>
  <si>
    <t>SCAAML ECC M1</t>
  </si>
  <si>
    <t xml:space="preserve">additive masking </t>
  </si>
  <si>
    <t>https://arxiv.org/abs/2306.07250</t>
  </si>
  <si>
    <t>SCAAML ECC M2</t>
  </si>
  <si>
    <t xml:space="preserve">multiplicative masking </t>
  </si>
  <si>
    <t>https://arxiv.org/abs/2306.07251</t>
  </si>
  <si>
    <t>SCAAML ECC M3</t>
  </si>
  <si>
    <t xml:space="preserve">combined higher order masking </t>
  </si>
  <si>
    <t>https://arxiv.org/abs/2306.07252</t>
  </si>
  <si>
    <t>SMAesh (CHES 2023) Artix-7</t>
  </si>
  <si>
    <t>random(profiling), one fixed (val adn test)</t>
  </si>
  <si>
    <t>Xilinx Artix-7 FPGA</t>
  </si>
  <si>
    <t>https://repository.tugraz.at/records/bk4fx-rbh46</t>
  </si>
  <si>
    <t>https://smaesh-challenge.simple-crypto.org/datasets.html</t>
  </si>
  <si>
    <t xml:space="preserve">both dataset also have test traces, which are kept private and not released by the author to keep independetly tets the results. Test traces are 16777216 for each target </t>
  </si>
  <si>
    <t>Artix-7</t>
  </si>
  <si>
    <t>Xilinx Artix-7</t>
  </si>
  <si>
    <t>SMAesH Artix-7 target platform</t>
  </si>
  <si>
    <t>Artix-7 is an FPGA family, not an exact device. Retained at family level because the workbook source does not establish the full part number.</t>
  </si>
  <si>
    <t>SMAesh (CHES 2023) Spartan-6</t>
  </si>
  <si>
    <t xml:space="preserve">Spartan-6 </t>
  </si>
  <si>
    <t>SMAesH Spartan-6 target platform</t>
  </si>
  <si>
    <t>Spartan-6 is an FPGA family, not an exact device.</t>
  </si>
  <si>
    <t xml:space="preserve">TeSCASE ECC EM </t>
  </si>
  <si>
    <t xml:space="preserve">EM </t>
  </si>
  <si>
    <t>ECC</t>
  </si>
  <si>
    <t>Unspecified Arm Cortex-M0+ microcontroller</t>
  </si>
  <si>
    <t>https://chest.coe.neu.edu/?current_page=POWER_TRACE_LINK&amp;software=emeccarm</t>
  </si>
  <si>
    <t>ARM Cortex M0+</t>
  </si>
  <si>
    <t>Arm Cortex-M0+</t>
  </si>
  <si>
    <t>The original cell reports only the CPU core. Keep this at architecture level until the TeSCASE page or paper gives the MCU/board.</t>
  </si>
  <si>
    <t>TeSCASE GPU AES P</t>
  </si>
  <si>
    <t>NVIDIA Tesla C2070</t>
  </si>
  <si>
    <t>https://chest.coe.neu.edu/?current_page=POWER_TRACE_LINK&amp;software=gpupower</t>
  </si>
  <si>
    <t xml:space="preserve">Nvidia tesla c2070 </t>
  </si>
  <si>
    <t>NVIDIA Fermi GPU</t>
  </si>
  <si>
    <t>Tesla C2070 accelerator board</t>
  </si>
  <si>
    <t>GPU</t>
  </si>
  <si>
    <t>Verified product</t>
  </si>
  <si>
    <t>Standardized capitalization and identified the GPU generation.</t>
  </si>
  <si>
    <t>TeSCASE GPU AES T</t>
  </si>
  <si>
    <t>timing</t>
  </si>
  <si>
    <t>NVIDIA Tesla K40</t>
  </si>
  <si>
    <t>https://chest.coe.neu.edu/?current_page=POWER_TRACE_LINK&amp;software=gputiming</t>
  </si>
  <si>
    <t xml:space="preserve">Nvidia kepler k40 </t>
  </si>
  <si>
    <t>NVIDIA Kepler GPU</t>
  </si>
  <si>
    <t>Tesla K40 accelerator board</t>
  </si>
  <si>
    <t>Standardized product name; Kepler is the architecture rather than the device model.</t>
  </si>
  <si>
    <t>TeSCASE Keccak</t>
  </si>
  <si>
    <t>SHA-3</t>
  </si>
  <si>
    <t>https://chest.coe.neu.edu/?current_page=POWER_TRACE_LINK&amp;software=ptkeccak</t>
  </si>
  <si>
    <t>Normalized board/device distinction; exact FPGA part should be retained only if explicitly confirmed by the TeSCASE documentation.</t>
  </si>
  <si>
    <t>https://chest.coe.neu.edu/</t>
  </si>
  <si>
    <t>TeSCASE MAS AES (AES HD MM)</t>
  </si>
  <si>
    <t xml:space="preserve">boolean + affine masking </t>
  </si>
  <si>
    <t>https://chest.coe.neu.edu/?current_page=POWER_TRACE_LINK&amp;software=ptmasked</t>
  </si>
  <si>
    <t>SASEBO GII+O24</t>
  </si>
  <si>
    <t xml:space="preserve">TeSCASE UN AES </t>
  </si>
  <si>
    <t>https://chest.coe.neu.edu/?current_page=POWER_TRACE_LINK&amp;software=ptunmasked</t>
  </si>
  <si>
    <t xml:space="preserve">avaibility is upon request and I have requested the dataset but had not answer so I cannot verify further information </t>
  </si>
  <si>
    <t>SASEBO GII</t>
  </si>
  <si>
    <t>wolfssl ed25519</t>
  </si>
  <si>
    <t>Ed25519 (EdDSA)</t>
  </si>
  <si>
    <t xml:space="preserve">random(ephemral) </t>
  </si>
  <si>
    <t>https://github.com/leoweissbart/MachineLearningBasedSideChannelAttackonEdDSA</t>
  </si>
  <si>
    <t>https://eprint.iacr.org/2019/358</t>
  </si>
  <si>
    <t>The target is the Ed25519 digital signature algorithm implemented in WolfSSL. Each trace corresponds to a different ephemeral scalar r, computed from the message.</t>
  </si>
  <si>
    <t>Riscure Piñata 32-bit STM32F4</t>
  </si>
  <si>
    <t>Separated board, MCU family and CPU architecture.</t>
  </si>
  <si>
    <t>X-DeepSCA</t>
  </si>
  <si>
    <t>Multiple 8-bit AVR ATmega devices (exact model not stated in repository README)</t>
  </si>
  <si>
    <t>https://github.com/SparcLab/X-DeepSCA/tree/master</t>
  </si>
  <si>
    <t>https://eprint.iacr.org/2019/818.pdf</t>
  </si>
  <si>
    <t xml:space="preserve">this work adress the inter device problem, so they recorded the same data but in 4 different devices </t>
  </si>
  <si>
    <t xml:space="preserve">Atmega </t>
  </si>
  <si>
    <t>Multiple target boards</t>
  </si>
  <si>
    <t>Verified architecture only</t>
  </si>
  <si>
    <t>The dataset is cross-device and the public README only says ATmega. Do not reduce it to one unspecified device.</t>
  </si>
  <si>
    <t>https://github.com/SparcLab/X-DeepSCA</t>
  </si>
  <si>
    <t xml:space="preserve">Xoodyak </t>
  </si>
  <si>
    <t>https://ieeexplore.ieee.org/stamp/stamp.jsp?tp=&amp;arnumber=10508930</t>
  </si>
  <si>
    <t>Separated SAKURA-G board from its target FPGA family. Exact FPGA part should be added only from the experimental setup section.</t>
  </si>
  <si>
    <t>https://ieeexplore.ieee.org/document/10508930</t>
  </si>
  <si>
    <t>| Target                |        Traces | Time samples / trace |</t>
  </si>
  <si>
    <t>| --------------------- | ------------: | -------------------: |</t>
  </si>
  <si>
    <t>| Kx_const              |       261,119 |                4,000 |</t>
  </si>
  <si>
    <t>| z_cflip               |       261,115 |                  500 |</t>
  </si>
  <si>
    <t>| sc_cflip (Attack 1/2) |       261,118 |                  500 |</t>
  </si>
  <si>
    <t>| yu                    |     1,566,205 |                1,000 |</t>
  </si>
  <si>
    <t>| sc_cflip (Attack 3)   |       399,988 |                  500 |</t>
  </si>
  <si>
    <t>| **Total**             | **2,749,545** |                    — |</t>
  </si>
  <si>
    <t>| Kx_const              |       232,447 |                4,000 |</t>
  </si>
  <si>
    <t>| z_cflip               |       232,448 |                  500 |</t>
  </si>
  <si>
    <t>| sc_cflip (Attack 1/2) |       232,448 |                  500 |</t>
  </si>
  <si>
    <t>| yu                    |     1,450,492 |                1,000 |</t>
  </si>
  <si>
    <t>| sc_cflip (Attack 3)   |       600,000 |                  500 |</t>
  </si>
  <si>
    <t>| **Total**             | **2,747,835** |                    — |</t>
  </si>
  <si>
    <t>Excel row</t>
  </si>
  <si>
    <t>Original device</t>
  </si>
  <si>
    <t>Standardized target device</t>
  </si>
  <si>
    <t>Verification</t>
  </si>
  <si>
    <t>Correction / rationale</t>
  </si>
  <si>
    <t>Source URL</t>
  </si>
  <si>
    <t>Device-field normalization rules</t>
  </si>
  <si>
    <t>Field</t>
  </si>
  <si>
    <t>Definition used in this workbook</t>
  </si>
  <si>
    <t>The physical component executing the cryptographic operation and producing leakage: exact MCU/SoC/FPGA/GPU model when reported; otherwise the narrowest verified family or platform.</t>
  </si>
  <si>
    <t>CPU instruction-set/core or FPGA family, e.g. Arm Cortex-M4F, 8-bit AVR, Xilinx Virtex-5.</t>
  </si>
  <si>
    <t>Development/evaluation board or commercial target, e.g. SASEBO-GII, SAKURA-G, Riscure Piñata, CW308T-K82F.</t>
  </si>
  <si>
    <t>Microcontroller, SoC, FPGA, ASIC, GPU, or multiple devices.</t>
  </si>
  <si>
    <t>A source supports a full device model/part.</t>
  </si>
  <si>
    <t>Verified family/platform</t>
  </si>
  <si>
    <t>A source supports only a family, board, CPU core, or named research platform.</t>
  </si>
  <si>
    <t>Needs exact model / verification</t>
  </si>
  <si>
    <t>The source available in the workbook did not support a safe exact model. No device was guessed.</t>
  </si>
  <si>
    <t>Important</t>
  </si>
  <si>
    <t>Oscilloscopes, probes, amplifiers, ADCs and acquisition boards are not target devices and should be recorded in separate acquisition-equipment fields.</t>
  </si>
  <si>
    <t>Audit scope</t>
  </si>
  <si>
    <t>This pass focuses on the Device column and its internal consistency. Original values are preserved in column V and in Device_Audit.</t>
  </si>
  <si>
    <t>N/A</t>
  </si>
  <si>
    <t>zip</t>
  </si>
  <si>
    <t>h6</t>
  </si>
  <si>
    <t>h7</t>
  </si>
  <si>
    <t>h8</t>
  </si>
  <si>
    <t xml:space="preserve">Plaintext </t>
  </si>
  <si>
    <t xml:space="preserve">Plaintext, nonce </t>
  </si>
  <si>
    <t>under_attack, sign_num, index, inputs, cycles, trigger, trace, Kx.</t>
  </si>
  <si>
    <t>they used two STM32F4 called device A and device B. metadata available Cortex-M4.they used two STM32F4 called device A and device B. metadata available Cortex-M4. metadat includes: under_attack, sign_num, index, inputs, cycles, trigger, trace, Kx. The dataset is organized into multiple target-specific subsets. The inspected subsets contain between 232,447 and 1,566,205 trace snippets, depending on the leakage target. Trace lengths are 500 samples (z_cflip, sc_cflip), 1,000 samples (yu), and 4,000 samples (Kx_const). Across all published subsets, there are 5,497,380 stored trace snippets, although these should not be interpreted as the number of unique physical acquisitions because the subsets correspond to different leakage targets</t>
  </si>
  <si>
    <t xml:space="preserve">Plaintext, </t>
  </si>
  <si>
    <t>Secret-key coefficients (a[0], a[1]), ciphertext coefficient (b[1]), intermediate multiplication result 1, intermediate multiplication result</t>
  </si>
  <si>
    <t xml:space="preserve">metada available includes: count,seed, mlen, msg, pk, sk, smlen, sm. </t>
  </si>
  <si>
    <t>https://eprint.iacr.org/2025/1309 mention they have fisr ands second order masking in this dataset but I don really find confirmation/source of this in any way</t>
  </si>
  <si>
    <t>, number of time samples for from the agilent waveform header</t>
  </si>
  <si>
    <t xml:space="preserve">Plaintext
</t>
  </si>
  <si>
    <t xml:space="preserve"> this work introduces a generic plaintext-checking attack applicable to multiple Fujisaki.  Okamoto (FO)-based post-quantum KEMs. The attack exploits side-channel leakage from the re-encryption PRF during decapsulation  without relying on algorithm-specific implementation details.
 Okamoto (FO)-based post-quantum KEMs. The attack exploits side-channel leakage from the re-encryption PRF during decapsulation  without relying on algorithm-specific implementation details.</t>
  </si>
  <si>
    <t>montgomery ladder cswap condotion bit</t>
  </si>
  <si>
    <t>secret scalar, random masks, masked intermediate variable and quotien variable(for multiplicative masking)</t>
  </si>
  <si>
    <t xml:space="preserve"> message</t>
  </si>
  <si>
    <t>Binary label (LEGACY_DATA; undocumented, values 0x00/0x80)</t>
  </si>
  <si>
    <t xml:space="preserve">cyphertext </t>
  </si>
  <si>
    <t>none</t>
  </si>
  <si>
    <t xml:space="preserve">Plaintext, cyphertext, masks for the protected implementation </t>
  </si>
  <si>
    <t>Plaintext. nonces</t>
  </si>
  <si>
    <t>Plaintext, nonces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</si>
</sst>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ont>
    <font>
      <b/>
      <sz val="12"/>
      <color theme="1"/>
      <name val="Aptos Narrow"/>
    </font>
    <font>
      <sz val="12"/>
      <color theme="10"/>
      <name val="Aptos Narrow"/>
    </font>
    <font>
      <sz val="8"/>
      <name val="Aptos Narrow"/>
    </font>
    <font>
      <b/>
      <sz val="12"/>
      <color rgb="FFFFFFFF"/>
      <name val="Aptos Narrow"/>
    </font>
    <font>
      <b/>
      <sz val="14"/>
      <color rgb="FFFFFFFF"/>
      <name val="Aptos Narrow"/>
    </font>
  </fonts>
  <fills count="4">
    <fill>
      <patternFill patternType="none"/>
    </fill>
    <fill>
      <patternFill patternType="gray125"/>
    </fill>
    <fill>
      <patternFill patternType="solid">
        <fgColor rgb="FF1F4E78"/>
      </patternFill>
    </fill>
    <fill>
      <patternFill patternType="solid">
        <fgColor rgb="FFD9EAF7"/>
      </patternFill>
    </fill>
  </fills>
  <borders count="2">
    <border>
      <left/>
      <right/>
      <top/>
      <bottom/>
      <diagonal/>
    </border>
    <border>
      <left/>
      <right/>
      <top/>
      <bottom/>
      <diagonal/>
    </border>
  </borders>
  <cellStyleXfs count="2">
    <xf numFmtId="0" fontId="0" fillId="0" borderId="1"/>
    <xf numFmtId="0" fontId="2" fillId="0" borderId="1"/>
  </cellStyleXfs>
  <cellXfs count="12">
    <xf numFmtId="0" fontId="0" fillId="0" borderId="0" xfId="0" applyBorder="1"/>
    <xf numFmtId="0" fontId="4" fillId="2" borderId="0" xfId="0" applyFont="1" applyFill="1" applyBorder="1" applyAlignment="1">
      <alignment horizontal="center" vertical="top" wrapText="1"/>
    </xf>
    <xf numFmtId="0" fontId="0" fillId="0" borderId="0" xfId="0" applyBorder="1" applyAlignment="1">
      <alignment vertical="top" wrapText="1"/>
    </xf>
    <xf numFmtId="0" fontId="1" fillId="3" borderId="0" xfId="0" applyFont="1" applyFill="1" applyBorder="1" applyAlignment="1">
      <alignment horizontal="center" wrapText="1"/>
    </xf>
    <xf numFmtId="0" fontId="0" fillId="0" borderId="0" xfId="0" applyBorder="1" applyAlignment="1">
      <alignment wrapText="1"/>
    </xf>
    <xf numFmtId="0" fontId="2" fillId="0" borderId="1" xfId="1"/>
    <xf numFmtId="0" fontId="0" fillId="0" borderId="1" xfId="0"/>
    <xf numFmtId="0" fontId="5" fillId="2" borderId="1" xfId="0" applyFont="1" applyFill="1" applyAlignment="1">
      <alignment horizontal="center" wrapText="1"/>
    </xf>
    <xf numFmtId="0" fontId="0" fillId="0" borderId="0" xfId="0" applyBorder="1" applyAlignment="1">
      <alignment horizontal="center"/>
    </xf>
    <xf numFmtId="0" fontId="0" fillId="0" borderId="1" xfId="0" applyBorder="1" applyAlignment="1">
      <alignment horizontal="center"/>
    </xf>
    <xf numFmtId="0" fontId="0" fillId="0" borderId="1" xfId="0" applyAlignment="1">
      <alignment horizontal="center"/>
    </xf>
    <xf numFmtId="0" fontId="0" fillId="0" borderId="1" xfId="0" applyAlignment="1"/>
  </cellXfs>
  <cellStyles count="2">
    <cellStyle name="Hyperlink" xfId="1" xr:uid="{00000000-0005-0000-0000-000001000000}"/>
    <cellStyle name="Normal" xfId="0" builtinId="0"/>
  </cellStyles>
  <dxfs count="2">
    <dxf>
      <font>
        <color rgb="FF9C0006"/>
      </font>
      <fill>
        <patternFill patternType="solid">
          <bgColor rgb="FFFCE4D6"/>
        </patternFill>
      </fill>
    </dxf>
    <dxf>
      <font>
        <color rgb="FF375623"/>
      </font>
      <fill>
        <patternFill patternType="solid">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eprint.iacr.org/2025/1309%20mention%20they%20have%20fisr%20ands%20second%20order%20masking%20in%20this%20dataset%20but%20I%20don%20really%20find%20confirmation/source%20of%20this%20in%20any%20way" TargetMode="External"/><Relationship Id="rId2" Type="http://schemas.openxmlformats.org/officeDocument/2006/relationships/hyperlink" Target="https://github.com/AESHD/AES_HD_Dataset" TargetMode="External"/><Relationship Id="rId1" Type="http://schemas.openxmlformats.org/officeDocument/2006/relationships/hyperlink" Target="https://www.dropbox.com/scl/fi/cpoaco0zwmgzdarj2427p/ecc_datasets.zip?rlkey=d71qkr0fdlkmtwmxohwezsxln&amp;e=1&amp;dl=0" TargetMode="External"/><Relationship Id="rId4" Type="http://schemas.openxmlformats.org/officeDocument/2006/relationships/hyperlink" Target="https://eprint.iacr.org/2017/1204.pdf?__cf_chl_f_tk=7cNcJtsaJYGrersP1FfmaDRJFDtaavpWlJJqAZI7qCE-1782912247-1.0.1.1-oRJCF7gi9Yd0qH17s_I02cCxL6.EbSyiqno0zL07rA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85"/>
  <sheetViews>
    <sheetView tabSelected="1" topLeftCell="A13" workbookViewId="0">
      <selection activeCell="W41" sqref="W41"/>
    </sheetView>
  </sheetViews>
  <sheetFormatPr baseColWidth="10" defaultRowHeight="16" x14ac:dyDescent="0.2"/>
  <cols>
    <col min="1" max="1" width="26" customWidth="1"/>
    <col min="3" max="3" width="16.1640625" customWidth="1"/>
    <col min="4" max="4" width="26.5" customWidth="1"/>
    <col min="5" max="5" width="17.83203125" customWidth="1"/>
    <col min="6" max="6" width="13.33203125" customWidth="1"/>
    <col min="7" max="7" width="20.1640625" customWidth="1"/>
    <col min="8" max="8" width="22.1640625" customWidth="1"/>
    <col min="9" max="9" width="20.1640625" customWidth="1"/>
    <col min="10" max="10" width="12" customWidth="1"/>
    <col min="11" max="11" width="26.83203125" customWidth="1"/>
    <col min="12" max="12" width="22.6640625" customWidth="1"/>
    <col min="13" max="13" width="38" customWidth="1"/>
    <col min="14" max="14" width="24" customWidth="1"/>
    <col min="15" max="15" width="32" customWidth="1"/>
    <col min="16" max="16" width="22" customWidth="1"/>
    <col min="18" max="18" width="28.6640625" customWidth="1"/>
    <col min="20" max="20" width="31.33203125" customWidth="1"/>
    <col min="21" max="21" width="55.6640625" customWidth="1"/>
    <col min="22" max="22" width="30" customWidth="1"/>
    <col min="23" max="23" width="89.1640625" customWidth="1"/>
  </cols>
  <sheetData>
    <row r="1" spans="1:23" ht="32" customHeight="1" x14ac:dyDescent="0.2">
      <c r="A1" s="1" t="s">
        <v>0</v>
      </c>
      <c r="B1" s="1" t="s">
        <v>1</v>
      </c>
      <c r="C1" s="1" t="s">
        <v>2</v>
      </c>
      <c r="D1" s="1" t="s">
        <v>3</v>
      </c>
      <c r="E1" s="1" t="s">
        <v>4</v>
      </c>
      <c r="F1" s="1" t="s">
        <v>5</v>
      </c>
      <c r="G1" s="1" t="s">
        <v>6</v>
      </c>
      <c r="H1" s="1" t="s">
        <v>7</v>
      </c>
      <c r="I1" s="1" t="s">
        <v>8</v>
      </c>
      <c r="J1" s="1" t="s">
        <v>9</v>
      </c>
      <c r="K1" s="1" t="s">
        <v>11</v>
      </c>
      <c r="L1" s="1" t="s">
        <v>12</v>
      </c>
      <c r="M1" s="1" t="s">
        <v>18</v>
      </c>
      <c r="N1" s="1" t="s">
        <v>19</v>
      </c>
      <c r="O1" s="1" t="s">
        <v>20</v>
      </c>
      <c r="P1" s="1" t="s">
        <v>21</v>
      </c>
      <c r="Q1" t="s">
        <v>22</v>
      </c>
      <c r="R1" s="1" t="s">
        <v>13</v>
      </c>
      <c r="S1" s="1" t="s">
        <v>14</v>
      </c>
      <c r="T1" s="1" t="s">
        <v>15</v>
      </c>
      <c r="U1" s="1" t="s">
        <v>16</v>
      </c>
      <c r="V1" s="1" t="s">
        <v>17</v>
      </c>
      <c r="W1" t="s">
        <v>23</v>
      </c>
    </row>
    <row r="2" spans="1:23" ht="48" customHeight="1" x14ac:dyDescent="0.2">
      <c r="A2" t="s">
        <v>24</v>
      </c>
      <c r="B2" t="s">
        <v>25</v>
      </c>
      <c r="C2" t="s">
        <v>26</v>
      </c>
      <c r="D2" t="s">
        <v>27</v>
      </c>
      <c r="E2" t="s">
        <v>28</v>
      </c>
      <c r="F2">
        <v>50000</v>
      </c>
      <c r="I2">
        <v>1000</v>
      </c>
      <c r="J2" t="s">
        <v>25</v>
      </c>
      <c r="K2" t="s">
        <v>29</v>
      </c>
      <c r="L2" t="s">
        <v>28</v>
      </c>
      <c r="M2" t="s">
        <v>30</v>
      </c>
      <c r="N2" t="s">
        <v>35</v>
      </c>
      <c r="O2" t="s">
        <v>36</v>
      </c>
      <c r="P2" t="s">
        <v>37</v>
      </c>
      <c r="Q2" t="s">
        <v>41</v>
      </c>
      <c r="R2" t="s">
        <v>525</v>
      </c>
      <c r="S2">
        <v>2023</v>
      </c>
      <c r="T2" t="s">
        <v>31</v>
      </c>
      <c r="U2" t="s">
        <v>32</v>
      </c>
      <c r="V2" t="s">
        <v>33</v>
      </c>
      <c r="W2" t="s">
        <v>10</v>
      </c>
    </row>
    <row r="3" spans="1:23" ht="48" customHeight="1" x14ac:dyDescent="0.2">
      <c r="A3" t="s">
        <v>42</v>
      </c>
      <c r="B3" t="s">
        <v>28</v>
      </c>
      <c r="C3" t="s">
        <v>43</v>
      </c>
      <c r="D3" t="s">
        <v>44</v>
      </c>
      <c r="E3" t="s">
        <v>25</v>
      </c>
      <c r="F3">
        <v>50000</v>
      </c>
      <c r="I3">
        <v>1250</v>
      </c>
      <c r="J3" t="s">
        <v>57</v>
      </c>
      <c r="K3" t="s">
        <v>29</v>
      </c>
      <c r="L3" t="s">
        <v>28</v>
      </c>
      <c r="M3" t="s">
        <v>45</v>
      </c>
      <c r="N3" t="s">
        <v>49</v>
      </c>
      <c r="O3" t="s">
        <v>50</v>
      </c>
      <c r="P3" t="s">
        <v>37</v>
      </c>
      <c r="Q3" t="s">
        <v>41</v>
      </c>
      <c r="R3" t="s">
        <v>46</v>
      </c>
      <c r="S3">
        <v>2018</v>
      </c>
      <c r="T3" t="s">
        <v>524</v>
      </c>
      <c r="U3" t="s">
        <v>47</v>
      </c>
      <c r="W3" t="s">
        <v>524</v>
      </c>
    </row>
    <row r="4" spans="1:23" ht="48" customHeight="1" x14ac:dyDescent="0.2">
      <c r="A4" t="s">
        <v>53</v>
      </c>
      <c r="B4" t="s">
        <v>28</v>
      </c>
      <c r="C4" t="s">
        <v>43</v>
      </c>
      <c r="D4" t="s">
        <v>44</v>
      </c>
      <c r="E4" t="s">
        <v>25</v>
      </c>
      <c r="F4">
        <v>500000</v>
      </c>
      <c r="I4">
        <v>1250</v>
      </c>
      <c r="J4" t="s">
        <v>57</v>
      </c>
      <c r="K4" t="s">
        <v>29</v>
      </c>
      <c r="L4" t="s">
        <v>28</v>
      </c>
      <c r="M4" t="s">
        <v>45</v>
      </c>
      <c r="N4" t="s">
        <v>49</v>
      </c>
      <c r="O4" t="s">
        <v>50</v>
      </c>
      <c r="P4" t="s">
        <v>37</v>
      </c>
      <c r="Q4" t="s">
        <v>41</v>
      </c>
      <c r="R4" t="s">
        <v>54</v>
      </c>
      <c r="S4">
        <v>2018</v>
      </c>
      <c r="T4" t="s">
        <v>524</v>
      </c>
      <c r="U4" t="s">
        <v>47</v>
      </c>
      <c r="V4" t="s">
        <v>55</v>
      </c>
      <c r="W4" t="s">
        <v>524</v>
      </c>
    </row>
    <row r="5" spans="1:23" ht="48" customHeight="1" x14ac:dyDescent="0.2">
      <c r="A5" t="s">
        <v>56</v>
      </c>
      <c r="B5" t="s">
        <v>57</v>
      </c>
      <c r="C5" t="s">
        <v>43</v>
      </c>
      <c r="D5" t="s">
        <v>44</v>
      </c>
      <c r="E5" t="s">
        <v>28</v>
      </c>
      <c r="F5">
        <v>100000</v>
      </c>
      <c r="I5">
        <v>1250</v>
      </c>
      <c r="J5" t="s">
        <v>57</v>
      </c>
      <c r="K5" t="s">
        <v>58</v>
      </c>
      <c r="L5" t="s">
        <v>28</v>
      </c>
      <c r="M5" t="s">
        <v>45</v>
      </c>
      <c r="N5" t="s">
        <v>49</v>
      </c>
      <c r="O5" t="s">
        <v>50</v>
      </c>
      <c r="P5" t="s">
        <v>37</v>
      </c>
      <c r="Q5" t="s">
        <v>41</v>
      </c>
      <c r="R5" t="s">
        <v>59</v>
      </c>
      <c r="S5">
        <v>2018</v>
      </c>
      <c r="T5" s="5" t="s">
        <v>60</v>
      </c>
      <c r="U5" t="s">
        <v>47</v>
      </c>
      <c r="V5" t="s">
        <v>61</v>
      </c>
      <c r="W5" t="s">
        <v>545</v>
      </c>
    </row>
    <row r="6" spans="1:23" ht="48" customHeight="1" x14ac:dyDescent="0.2">
      <c r="A6" t="s">
        <v>62</v>
      </c>
      <c r="B6" t="s">
        <v>57</v>
      </c>
      <c r="C6" t="s">
        <v>43</v>
      </c>
      <c r="D6" t="s">
        <v>44</v>
      </c>
      <c r="E6" t="s">
        <v>57</v>
      </c>
      <c r="F6">
        <v>75000</v>
      </c>
      <c r="G6">
        <v>45000</v>
      </c>
      <c r="H6" t="s">
        <v>63</v>
      </c>
      <c r="I6">
        <v>1250</v>
      </c>
      <c r="J6" t="s">
        <v>57</v>
      </c>
      <c r="K6" t="s">
        <v>29</v>
      </c>
      <c r="L6" t="s">
        <v>28</v>
      </c>
      <c r="M6" t="s">
        <v>45</v>
      </c>
      <c r="N6" t="s">
        <v>49</v>
      </c>
      <c r="O6" t="s">
        <v>50</v>
      </c>
      <c r="P6" t="s">
        <v>37</v>
      </c>
      <c r="Q6" t="s">
        <v>41</v>
      </c>
      <c r="R6" t="s">
        <v>46</v>
      </c>
      <c r="S6">
        <v>2018</v>
      </c>
      <c r="T6" t="s">
        <v>64</v>
      </c>
      <c r="U6" t="s">
        <v>47</v>
      </c>
      <c r="V6" t="s">
        <v>65</v>
      </c>
      <c r="W6" t="s">
        <v>544</v>
      </c>
    </row>
    <row r="7" spans="1:23" ht="48" customHeight="1" x14ac:dyDescent="0.2">
      <c r="A7" t="s">
        <v>66</v>
      </c>
      <c r="B7" t="s">
        <v>57</v>
      </c>
      <c r="C7" t="s">
        <v>26</v>
      </c>
      <c r="D7" t="s">
        <v>44</v>
      </c>
      <c r="E7" t="s">
        <v>57</v>
      </c>
      <c r="F7">
        <v>150000</v>
      </c>
      <c r="G7">
        <v>100000</v>
      </c>
      <c r="H7">
        <v>50000</v>
      </c>
      <c r="I7">
        <v>1260</v>
      </c>
      <c r="J7" t="s">
        <v>57</v>
      </c>
      <c r="K7" t="s">
        <v>67</v>
      </c>
      <c r="L7" t="s">
        <v>28</v>
      </c>
      <c r="M7" t="s">
        <v>68</v>
      </c>
      <c r="N7" t="s">
        <v>74</v>
      </c>
      <c r="O7" t="s">
        <v>75</v>
      </c>
      <c r="P7" t="s">
        <v>76</v>
      </c>
      <c r="Q7" t="s">
        <v>78</v>
      </c>
      <c r="R7" t="s">
        <v>69</v>
      </c>
      <c r="S7">
        <v>2021</v>
      </c>
      <c r="T7" t="s">
        <v>70</v>
      </c>
      <c r="U7" t="s">
        <v>71</v>
      </c>
      <c r="V7" t="s">
        <v>72</v>
      </c>
      <c r="W7" t="s">
        <v>529</v>
      </c>
    </row>
    <row r="8" spans="1:23" ht="48" customHeight="1" x14ac:dyDescent="0.2">
      <c r="A8" t="s">
        <v>79</v>
      </c>
      <c r="B8" t="s">
        <v>57</v>
      </c>
      <c r="C8" t="s">
        <v>26</v>
      </c>
      <c r="D8" t="s">
        <v>44</v>
      </c>
      <c r="E8" t="s">
        <v>57</v>
      </c>
      <c r="F8">
        <v>200000</v>
      </c>
      <c r="G8">
        <v>150000</v>
      </c>
      <c r="H8">
        <v>50000</v>
      </c>
      <c r="I8">
        <v>1260</v>
      </c>
      <c r="J8" t="s">
        <v>57</v>
      </c>
      <c r="K8" t="s">
        <v>80</v>
      </c>
      <c r="L8" t="s">
        <v>81</v>
      </c>
      <c r="M8" t="s">
        <v>68</v>
      </c>
      <c r="N8" t="s">
        <v>74</v>
      </c>
      <c r="O8" t="s">
        <v>75</v>
      </c>
      <c r="P8" t="s">
        <v>76</v>
      </c>
      <c r="Q8" t="s">
        <v>78</v>
      </c>
      <c r="R8" t="s">
        <v>69</v>
      </c>
      <c r="S8">
        <v>2021</v>
      </c>
      <c r="T8" t="s">
        <v>70</v>
      </c>
      <c r="U8" t="s">
        <v>71</v>
      </c>
      <c r="W8" t="s">
        <v>10</v>
      </c>
    </row>
    <row r="9" spans="1:23" ht="48" customHeight="1" x14ac:dyDescent="0.2">
      <c r="A9" t="s">
        <v>82</v>
      </c>
      <c r="B9" t="s">
        <v>57</v>
      </c>
      <c r="C9" t="s">
        <v>26</v>
      </c>
      <c r="D9" t="s">
        <v>44</v>
      </c>
      <c r="E9" t="s">
        <v>57</v>
      </c>
      <c r="F9">
        <v>300000</v>
      </c>
      <c r="G9">
        <v>200000</v>
      </c>
      <c r="H9">
        <v>100000</v>
      </c>
      <c r="I9">
        <v>1260</v>
      </c>
      <c r="J9" t="s">
        <v>57</v>
      </c>
      <c r="K9" t="s">
        <v>83</v>
      </c>
      <c r="L9" t="s">
        <v>84</v>
      </c>
      <c r="M9" t="s">
        <v>68</v>
      </c>
      <c r="N9" t="s">
        <v>74</v>
      </c>
      <c r="O9" t="s">
        <v>75</v>
      </c>
      <c r="P9" t="s">
        <v>76</v>
      </c>
      <c r="Q9" t="s">
        <v>78</v>
      </c>
      <c r="R9" t="s">
        <v>69</v>
      </c>
      <c r="S9">
        <v>2021</v>
      </c>
      <c r="T9" t="s">
        <v>70</v>
      </c>
      <c r="U9" t="s">
        <v>71</v>
      </c>
      <c r="W9" t="s">
        <v>10</v>
      </c>
    </row>
    <row r="10" spans="1:23" ht="48" customHeight="1" x14ac:dyDescent="0.2">
      <c r="A10" t="s">
        <v>85</v>
      </c>
      <c r="B10" t="s">
        <v>57</v>
      </c>
      <c r="C10" t="s">
        <v>43</v>
      </c>
      <c r="D10" t="s">
        <v>44</v>
      </c>
      <c r="E10" t="s">
        <v>57</v>
      </c>
      <c r="F10">
        <v>150000</v>
      </c>
      <c r="G10">
        <v>100000</v>
      </c>
      <c r="H10">
        <v>50000</v>
      </c>
      <c r="I10">
        <v>1260</v>
      </c>
      <c r="J10" t="s">
        <v>57</v>
      </c>
      <c r="K10" t="s">
        <v>67</v>
      </c>
      <c r="L10" t="s">
        <v>28</v>
      </c>
      <c r="M10" t="s">
        <v>86</v>
      </c>
      <c r="N10" t="s">
        <v>74</v>
      </c>
      <c r="O10" t="s">
        <v>89</v>
      </c>
      <c r="P10" t="s">
        <v>90</v>
      </c>
      <c r="Q10" t="s">
        <v>78</v>
      </c>
      <c r="R10" t="s">
        <v>69</v>
      </c>
      <c r="S10">
        <v>2021</v>
      </c>
      <c r="T10" t="s">
        <v>87</v>
      </c>
      <c r="U10" t="s">
        <v>71</v>
      </c>
      <c r="W10" t="s">
        <v>10</v>
      </c>
    </row>
    <row r="11" spans="1:23" ht="48" customHeight="1" x14ac:dyDescent="0.2">
      <c r="A11" t="s">
        <v>94</v>
      </c>
      <c r="B11" t="s">
        <v>57</v>
      </c>
      <c r="C11" t="s">
        <v>43</v>
      </c>
      <c r="D11" t="s">
        <v>44</v>
      </c>
      <c r="E11" t="s">
        <v>57</v>
      </c>
      <c r="F11">
        <v>200000</v>
      </c>
      <c r="G11">
        <v>150000</v>
      </c>
      <c r="H11">
        <v>50000</v>
      </c>
      <c r="I11">
        <v>1260</v>
      </c>
      <c r="J11" t="s">
        <v>57</v>
      </c>
      <c r="K11" t="s">
        <v>80</v>
      </c>
      <c r="L11" t="s">
        <v>81</v>
      </c>
      <c r="M11" t="s">
        <v>86</v>
      </c>
      <c r="N11" t="s">
        <v>74</v>
      </c>
      <c r="O11" t="s">
        <v>89</v>
      </c>
      <c r="P11" t="s">
        <v>90</v>
      </c>
      <c r="Q11" t="s">
        <v>78</v>
      </c>
      <c r="R11" t="s">
        <v>69</v>
      </c>
      <c r="S11">
        <v>2021</v>
      </c>
      <c r="T11" t="s">
        <v>87</v>
      </c>
      <c r="U11" t="s">
        <v>71</v>
      </c>
      <c r="W11" t="s">
        <v>10</v>
      </c>
    </row>
    <row r="12" spans="1:23" ht="48" customHeight="1" x14ac:dyDescent="0.2">
      <c r="A12" t="s">
        <v>95</v>
      </c>
      <c r="B12" t="s">
        <v>57</v>
      </c>
      <c r="C12" t="s">
        <v>43</v>
      </c>
      <c r="D12" t="s">
        <v>44</v>
      </c>
      <c r="E12" t="s">
        <v>57</v>
      </c>
      <c r="F12">
        <v>300000</v>
      </c>
      <c r="G12">
        <v>200000</v>
      </c>
      <c r="H12">
        <v>100000</v>
      </c>
      <c r="I12">
        <v>1260</v>
      </c>
      <c r="J12" t="s">
        <v>57</v>
      </c>
      <c r="K12" t="s">
        <v>83</v>
      </c>
      <c r="L12" t="s">
        <v>84</v>
      </c>
      <c r="M12" t="s">
        <v>86</v>
      </c>
      <c r="N12" t="s">
        <v>74</v>
      </c>
      <c r="O12" t="s">
        <v>89</v>
      </c>
      <c r="P12" t="s">
        <v>90</v>
      </c>
      <c r="Q12" t="s">
        <v>78</v>
      </c>
      <c r="R12" t="s">
        <v>69</v>
      </c>
      <c r="S12">
        <v>2021</v>
      </c>
      <c r="T12" t="s">
        <v>87</v>
      </c>
      <c r="U12" t="s">
        <v>71</v>
      </c>
      <c r="W12" t="s">
        <v>10</v>
      </c>
    </row>
    <row r="13" spans="1:23" ht="48" customHeight="1" x14ac:dyDescent="0.2">
      <c r="A13" t="s">
        <v>96</v>
      </c>
      <c r="B13" t="s">
        <v>57</v>
      </c>
      <c r="C13" t="s">
        <v>26</v>
      </c>
      <c r="D13" t="s">
        <v>44</v>
      </c>
      <c r="E13" t="s">
        <v>28</v>
      </c>
      <c r="F13">
        <v>50000</v>
      </c>
      <c r="I13">
        <v>3500</v>
      </c>
      <c r="J13" t="s">
        <v>57</v>
      </c>
      <c r="K13" t="s">
        <v>29</v>
      </c>
      <c r="L13" t="s">
        <v>98</v>
      </c>
      <c r="M13" t="s">
        <v>97</v>
      </c>
      <c r="N13" t="s">
        <v>103</v>
      </c>
      <c r="O13" t="s">
        <v>104</v>
      </c>
      <c r="P13" t="s">
        <v>76</v>
      </c>
      <c r="Q13" t="s">
        <v>78</v>
      </c>
      <c r="R13" t="s">
        <v>99</v>
      </c>
      <c r="S13">
        <v>2011</v>
      </c>
      <c r="T13" t="s">
        <v>100</v>
      </c>
      <c r="U13" t="s">
        <v>101</v>
      </c>
      <c r="W13" t="s">
        <v>10</v>
      </c>
    </row>
    <row r="14" spans="1:23" ht="48" customHeight="1" x14ac:dyDescent="0.2">
      <c r="A14" t="s">
        <v>107</v>
      </c>
      <c r="B14" t="s">
        <v>57</v>
      </c>
      <c r="C14" t="s">
        <v>108</v>
      </c>
      <c r="D14" t="s">
        <v>44</v>
      </c>
      <c r="E14" t="s">
        <v>28</v>
      </c>
      <c r="F14">
        <v>100000</v>
      </c>
      <c r="I14">
        <v>100000</v>
      </c>
      <c r="J14" t="s">
        <v>57</v>
      </c>
      <c r="K14" t="s">
        <v>58</v>
      </c>
      <c r="L14" t="s">
        <v>28</v>
      </c>
      <c r="M14" t="s">
        <v>109</v>
      </c>
      <c r="N14" t="s">
        <v>103</v>
      </c>
      <c r="O14" t="s">
        <v>114</v>
      </c>
      <c r="P14" t="s">
        <v>76</v>
      </c>
      <c r="Q14" t="s">
        <v>78</v>
      </c>
      <c r="R14" t="s">
        <v>110</v>
      </c>
      <c r="S14">
        <v>2018</v>
      </c>
      <c r="T14" t="s">
        <v>111</v>
      </c>
      <c r="U14" t="s">
        <v>112</v>
      </c>
      <c r="W14" s="8" t="s">
        <v>546</v>
      </c>
    </row>
    <row r="15" spans="1:23" ht="48" customHeight="1" x14ac:dyDescent="0.2">
      <c r="A15" t="s">
        <v>116</v>
      </c>
      <c r="B15" t="s">
        <v>57</v>
      </c>
      <c r="C15" t="s">
        <v>108</v>
      </c>
      <c r="D15" t="s">
        <v>44</v>
      </c>
      <c r="E15" t="s">
        <v>57</v>
      </c>
      <c r="F15">
        <v>60000</v>
      </c>
      <c r="G15">
        <v>50000</v>
      </c>
      <c r="H15">
        <v>10000</v>
      </c>
      <c r="I15">
        <v>700</v>
      </c>
      <c r="J15" t="s">
        <v>57</v>
      </c>
      <c r="K15" t="s">
        <v>58</v>
      </c>
      <c r="L15" t="s">
        <v>117</v>
      </c>
      <c r="M15" t="s">
        <v>109</v>
      </c>
      <c r="N15" t="s">
        <v>103</v>
      </c>
      <c r="O15" t="s">
        <v>114</v>
      </c>
      <c r="P15" t="s">
        <v>76</v>
      </c>
      <c r="Q15" t="s">
        <v>78</v>
      </c>
      <c r="R15" t="s">
        <v>110</v>
      </c>
      <c r="S15">
        <v>2018</v>
      </c>
      <c r="T15" t="s">
        <v>111</v>
      </c>
      <c r="U15" t="s">
        <v>112</v>
      </c>
      <c r="W15" s="8"/>
    </row>
    <row r="16" spans="1:23" ht="48" customHeight="1" x14ac:dyDescent="0.2">
      <c r="A16" t="s">
        <v>118</v>
      </c>
      <c r="B16" t="s">
        <v>57</v>
      </c>
      <c r="C16" t="s">
        <v>108</v>
      </c>
      <c r="D16" t="s">
        <v>44</v>
      </c>
      <c r="E16" t="s">
        <v>57</v>
      </c>
      <c r="F16">
        <v>300000</v>
      </c>
      <c r="G16">
        <v>200000</v>
      </c>
      <c r="H16">
        <v>100000</v>
      </c>
      <c r="I16">
        <v>1400</v>
      </c>
      <c r="J16" t="s">
        <v>57</v>
      </c>
      <c r="K16" t="s">
        <v>119</v>
      </c>
      <c r="L16" t="s">
        <v>120</v>
      </c>
      <c r="M16" t="s">
        <v>109</v>
      </c>
      <c r="N16" t="s">
        <v>103</v>
      </c>
      <c r="O16" t="s">
        <v>114</v>
      </c>
      <c r="P16" t="s">
        <v>76</v>
      </c>
      <c r="Q16" t="s">
        <v>78</v>
      </c>
      <c r="R16" t="s">
        <v>110</v>
      </c>
      <c r="S16">
        <v>2018</v>
      </c>
      <c r="T16" t="s">
        <v>111</v>
      </c>
      <c r="U16" t="s">
        <v>112</v>
      </c>
      <c r="W16" s="8"/>
    </row>
    <row r="17" spans="1:23" ht="48" customHeight="1" x14ac:dyDescent="0.2">
      <c r="A17" t="s">
        <v>121</v>
      </c>
      <c r="B17" t="s">
        <v>57</v>
      </c>
      <c r="C17" t="s">
        <v>108</v>
      </c>
      <c r="D17" t="s">
        <v>44</v>
      </c>
      <c r="E17" t="s">
        <v>57</v>
      </c>
      <c r="F17">
        <v>510000</v>
      </c>
      <c r="G17">
        <v>500000</v>
      </c>
      <c r="H17">
        <v>10000</v>
      </c>
      <c r="I17">
        <v>15000</v>
      </c>
      <c r="J17" t="s">
        <v>57</v>
      </c>
      <c r="K17" t="s">
        <v>119</v>
      </c>
      <c r="L17" t="s">
        <v>123</v>
      </c>
      <c r="M17" t="s">
        <v>122</v>
      </c>
      <c r="N17" t="s">
        <v>127</v>
      </c>
      <c r="O17" t="s">
        <v>128</v>
      </c>
      <c r="P17" t="s">
        <v>76</v>
      </c>
      <c r="Q17" t="s">
        <v>78</v>
      </c>
      <c r="R17" t="s">
        <v>110</v>
      </c>
      <c r="S17">
        <v>2021</v>
      </c>
      <c r="T17" t="s">
        <v>124</v>
      </c>
      <c r="U17" t="s">
        <v>125</v>
      </c>
      <c r="W17" s="8"/>
    </row>
    <row r="18" spans="1:23" ht="48" customHeight="1" x14ac:dyDescent="0.2">
      <c r="A18" t="s">
        <v>131</v>
      </c>
      <c r="B18" t="s">
        <v>57</v>
      </c>
      <c r="C18" t="s">
        <v>108</v>
      </c>
      <c r="D18" t="s">
        <v>44</v>
      </c>
      <c r="E18" t="s">
        <v>28</v>
      </c>
      <c r="F18">
        <v>800000</v>
      </c>
      <c r="I18">
        <v>1000000</v>
      </c>
      <c r="J18" t="s">
        <v>57</v>
      </c>
      <c r="K18" t="s">
        <v>119</v>
      </c>
      <c r="L18" t="s">
        <v>123</v>
      </c>
      <c r="M18" t="s">
        <v>122</v>
      </c>
      <c r="N18" t="s">
        <v>127</v>
      </c>
      <c r="O18" t="s">
        <v>128</v>
      </c>
      <c r="P18" t="s">
        <v>76</v>
      </c>
      <c r="Q18" t="s">
        <v>78</v>
      </c>
      <c r="R18" t="s">
        <v>110</v>
      </c>
      <c r="S18">
        <v>2021</v>
      </c>
      <c r="T18" t="s">
        <v>124</v>
      </c>
      <c r="U18" t="s">
        <v>125</v>
      </c>
      <c r="W18" s="8"/>
    </row>
    <row r="19" spans="1:23" ht="48" customHeight="1" x14ac:dyDescent="0.2">
      <c r="A19" t="s">
        <v>132</v>
      </c>
      <c r="B19" t="s">
        <v>25</v>
      </c>
      <c r="C19" t="s">
        <v>26</v>
      </c>
      <c r="D19" t="s">
        <v>133</v>
      </c>
      <c r="E19" t="s">
        <v>28</v>
      </c>
      <c r="F19">
        <v>560000</v>
      </c>
      <c r="I19">
        <v>1408</v>
      </c>
      <c r="J19" t="s">
        <v>25</v>
      </c>
      <c r="K19" t="s">
        <v>134</v>
      </c>
      <c r="L19" t="s">
        <v>136</v>
      </c>
      <c r="M19" t="s">
        <v>135</v>
      </c>
      <c r="N19" t="s">
        <v>74</v>
      </c>
      <c r="O19" t="s">
        <v>140</v>
      </c>
      <c r="P19" t="s">
        <v>76</v>
      </c>
      <c r="Q19" t="s">
        <v>78</v>
      </c>
      <c r="R19" t="s">
        <v>110</v>
      </c>
      <c r="S19">
        <v>2023</v>
      </c>
      <c r="T19" t="s">
        <v>137</v>
      </c>
      <c r="U19" t="s">
        <v>138</v>
      </c>
      <c r="W19" t="s">
        <v>10</v>
      </c>
    </row>
    <row r="20" spans="1:23" ht="48" customHeight="1" x14ac:dyDescent="0.2">
      <c r="A20" t="s">
        <v>132</v>
      </c>
      <c r="B20" t="s">
        <v>25</v>
      </c>
      <c r="C20" t="s">
        <v>26</v>
      </c>
      <c r="D20" t="s">
        <v>133</v>
      </c>
      <c r="E20" t="s">
        <v>28</v>
      </c>
      <c r="F20">
        <v>500000</v>
      </c>
      <c r="I20">
        <v>10000</v>
      </c>
      <c r="J20" t="s">
        <v>25</v>
      </c>
      <c r="K20" t="s">
        <v>134</v>
      </c>
      <c r="L20" t="s">
        <v>136</v>
      </c>
      <c r="M20" t="s">
        <v>135</v>
      </c>
      <c r="N20" t="s">
        <v>74</v>
      </c>
      <c r="O20" t="s">
        <v>140</v>
      </c>
      <c r="P20" t="s">
        <v>76</v>
      </c>
      <c r="Q20" t="s">
        <v>78</v>
      </c>
      <c r="R20" t="s">
        <v>110</v>
      </c>
      <c r="S20">
        <v>2023</v>
      </c>
      <c r="T20" t="s">
        <v>137</v>
      </c>
      <c r="U20" t="s">
        <v>138</v>
      </c>
      <c r="W20" t="s">
        <v>10</v>
      </c>
    </row>
    <row r="21" spans="1:23" ht="48" customHeight="1" x14ac:dyDescent="0.2">
      <c r="A21" t="s">
        <v>143</v>
      </c>
      <c r="B21" t="s">
        <v>25</v>
      </c>
      <c r="C21" t="s">
        <v>26</v>
      </c>
      <c r="D21" t="s">
        <v>133</v>
      </c>
      <c r="E21" t="s">
        <v>25</v>
      </c>
      <c r="F21">
        <v>60000</v>
      </c>
      <c r="G21">
        <v>50000</v>
      </c>
      <c r="H21">
        <v>10000</v>
      </c>
      <c r="I21">
        <v>772</v>
      </c>
      <c r="J21" t="s">
        <v>25</v>
      </c>
      <c r="K21" t="s">
        <v>134</v>
      </c>
      <c r="L21" t="s">
        <v>28</v>
      </c>
      <c r="M21" t="s">
        <v>135</v>
      </c>
      <c r="N21" t="s">
        <v>74</v>
      </c>
      <c r="O21" t="s">
        <v>140</v>
      </c>
      <c r="P21" t="s">
        <v>76</v>
      </c>
      <c r="Q21" t="s">
        <v>78</v>
      </c>
      <c r="R21" t="s">
        <v>110</v>
      </c>
      <c r="S21">
        <v>2023</v>
      </c>
      <c r="T21" t="s">
        <v>142</v>
      </c>
      <c r="U21" t="s">
        <v>138</v>
      </c>
      <c r="W21" t="s">
        <v>530</v>
      </c>
    </row>
    <row r="22" spans="1:23" ht="48" customHeight="1" x14ac:dyDescent="0.2">
      <c r="A22" t="s">
        <v>144</v>
      </c>
      <c r="B22" t="s">
        <v>25</v>
      </c>
      <c r="C22" t="s">
        <v>26</v>
      </c>
      <c r="D22" t="s">
        <v>133</v>
      </c>
      <c r="E22" t="s">
        <v>28</v>
      </c>
      <c r="F22">
        <v>100000</v>
      </c>
      <c r="I22">
        <v>6000</v>
      </c>
      <c r="J22" t="s">
        <v>25</v>
      </c>
      <c r="K22" t="s">
        <v>134</v>
      </c>
      <c r="L22" t="s">
        <v>28</v>
      </c>
      <c r="M22" t="s">
        <v>135</v>
      </c>
      <c r="N22" t="s">
        <v>74</v>
      </c>
      <c r="O22" t="s">
        <v>140</v>
      </c>
      <c r="P22" t="s">
        <v>76</v>
      </c>
      <c r="Q22" t="s">
        <v>78</v>
      </c>
      <c r="R22" t="s">
        <v>110</v>
      </c>
      <c r="S22">
        <v>2023</v>
      </c>
      <c r="T22" t="s">
        <v>142</v>
      </c>
      <c r="U22" t="s">
        <v>138</v>
      </c>
      <c r="W22" t="s">
        <v>530</v>
      </c>
    </row>
    <row r="23" spans="1:23" ht="48" customHeight="1" x14ac:dyDescent="0.2">
      <c r="A23" t="s">
        <v>145</v>
      </c>
      <c r="B23" t="s">
        <v>28</v>
      </c>
      <c r="C23" t="s">
        <v>26</v>
      </c>
      <c r="D23" t="s">
        <v>44</v>
      </c>
      <c r="E23" t="s">
        <v>25</v>
      </c>
      <c r="F23">
        <v>400000</v>
      </c>
      <c r="I23">
        <v>47000</v>
      </c>
      <c r="J23" t="s">
        <v>57</v>
      </c>
      <c r="K23" t="s">
        <v>146</v>
      </c>
      <c r="L23" t="s">
        <v>98</v>
      </c>
      <c r="M23" t="s">
        <v>147</v>
      </c>
      <c r="N23" t="s">
        <v>103</v>
      </c>
      <c r="O23" t="s">
        <v>151</v>
      </c>
      <c r="P23" t="s">
        <v>76</v>
      </c>
      <c r="Q23" t="s">
        <v>78</v>
      </c>
      <c r="R23" t="s">
        <v>69</v>
      </c>
      <c r="S23">
        <v>2021</v>
      </c>
      <c r="T23" t="s">
        <v>148</v>
      </c>
      <c r="U23" t="s">
        <v>149</v>
      </c>
      <c r="V23" s="9" t="s">
        <v>154</v>
      </c>
      <c r="W23" t="s">
        <v>524</v>
      </c>
    </row>
    <row r="24" spans="1:23" ht="48" customHeight="1" x14ac:dyDescent="0.2">
      <c r="A24" t="s">
        <v>153</v>
      </c>
      <c r="B24" t="s">
        <v>28</v>
      </c>
      <c r="C24" t="s">
        <v>26</v>
      </c>
      <c r="D24" t="s">
        <v>44</v>
      </c>
      <c r="E24" t="s">
        <v>57</v>
      </c>
      <c r="F24">
        <v>400000</v>
      </c>
      <c r="I24">
        <v>47000</v>
      </c>
      <c r="J24" t="s">
        <v>57</v>
      </c>
      <c r="L24" t="s">
        <v>28</v>
      </c>
      <c r="M24" t="s">
        <v>147</v>
      </c>
      <c r="N24" t="s">
        <v>103</v>
      </c>
      <c r="O24" t="s">
        <v>151</v>
      </c>
      <c r="P24" t="s">
        <v>76</v>
      </c>
      <c r="Q24" t="s">
        <v>78</v>
      </c>
      <c r="R24" t="s">
        <v>69</v>
      </c>
      <c r="S24">
        <v>2021</v>
      </c>
      <c r="T24" t="s">
        <v>148</v>
      </c>
      <c r="U24" t="s">
        <v>149</v>
      </c>
      <c r="V24" s="9"/>
      <c r="W24" t="s">
        <v>524</v>
      </c>
    </row>
    <row r="25" spans="1:23" ht="48" customHeight="1" x14ac:dyDescent="0.2">
      <c r="A25" t="s">
        <v>155</v>
      </c>
      <c r="B25" t="s">
        <v>25</v>
      </c>
      <c r="C25" t="s">
        <v>26</v>
      </c>
      <c r="D25" t="s">
        <v>156</v>
      </c>
      <c r="E25" t="s">
        <v>28</v>
      </c>
      <c r="F25">
        <v>2749545</v>
      </c>
      <c r="J25" t="s">
        <v>57</v>
      </c>
      <c r="K25" t="s">
        <v>134</v>
      </c>
      <c r="L25" t="s">
        <v>28</v>
      </c>
      <c r="M25" t="s">
        <v>157</v>
      </c>
      <c r="N25" t="s">
        <v>127</v>
      </c>
      <c r="O25" t="s">
        <v>162</v>
      </c>
      <c r="P25" t="s">
        <v>76</v>
      </c>
      <c r="Q25" t="s">
        <v>78</v>
      </c>
      <c r="R25" t="s">
        <v>158</v>
      </c>
      <c r="S25">
        <v>2022</v>
      </c>
      <c r="T25" t="s">
        <v>159</v>
      </c>
      <c r="U25" t="s">
        <v>160</v>
      </c>
      <c r="V25" s="10" t="s">
        <v>532</v>
      </c>
      <c r="W25" t="s">
        <v>531</v>
      </c>
    </row>
    <row r="26" spans="1:23" ht="48" customHeight="1" x14ac:dyDescent="0.2">
      <c r="A26" t="s">
        <v>164</v>
      </c>
      <c r="B26" t="s">
        <v>25</v>
      </c>
      <c r="C26" t="s">
        <v>26</v>
      </c>
      <c r="D26" t="s">
        <v>156</v>
      </c>
      <c r="E26" t="s">
        <v>28</v>
      </c>
      <c r="F26">
        <v>2747835</v>
      </c>
      <c r="J26" t="s">
        <v>57</v>
      </c>
      <c r="K26" t="s">
        <v>134</v>
      </c>
      <c r="L26" t="s">
        <v>28</v>
      </c>
      <c r="M26" t="s">
        <v>157</v>
      </c>
      <c r="N26" t="s">
        <v>127</v>
      </c>
      <c r="O26" t="s">
        <v>162</v>
      </c>
      <c r="P26" t="s">
        <v>76</v>
      </c>
      <c r="Q26" t="s">
        <v>78</v>
      </c>
      <c r="R26" t="s">
        <v>158</v>
      </c>
      <c r="S26">
        <v>2022</v>
      </c>
      <c r="T26" t="s">
        <v>159</v>
      </c>
      <c r="U26" t="s">
        <v>160</v>
      </c>
      <c r="V26" s="10"/>
      <c r="W26" t="s">
        <v>531</v>
      </c>
    </row>
    <row r="27" spans="1:23" ht="48" customHeight="1" x14ac:dyDescent="0.2">
      <c r="A27" t="s">
        <v>165</v>
      </c>
      <c r="B27" t="s">
        <v>57</v>
      </c>
      <c r="C27" t="s">
        <v>26</v>
      </c>
      <c r="D27" t="s">
        <v>44</v>
      </c>
      <c r="E27" t="s">
        <v>28</v>
      </c>
      <c r="F27">
        <v>256</v>
      </c>
      <c r="I27">
        <v>134217550</v>
      </c>
      <c r="J27" t="s">
        <v>57</v>
      </c>
      <c r="K27" t="s">
        <v>166</v>
      </c>
      <c r="L27" t="s">
        <v>28</v>
      </c>
      <c r="M27" t="s">
        <v>167</v>
      </c>
      <c r="N27" t="s">
        <v>171</v>
      </c>
      <c r="O27" t="s">
        <v>172</v>
      </c>
      <c r="P27" t="s">
        <v>173</v>
      </c>
      <c r="Q27" t="s">
        <v>78</v>
      </c>
      <c r="R27" t="s">
        <v>110</v>
      </c>
      <c r="S27">
        <v>2025</v>
      </c>
      <c r="T27" t="s">
        <v>168</v>
      </c>
      <c r="U27" t="s">
        <v>169</v>
      </c>
      <c r="V27" s="10" t="s">
        <v>183</v>
      </c>
      <c r="W27" t="s">
        <v>533</v>
      </c>
    </row>
    <row r="28" spans="1:23" ht="48" customHeight="1" x14ac:dyDescent="0.2">
      <c r="A28" t="s">
        <v>176</v>
      </c>
      <c r="B28" t="s">
        <v>57</v>
      </c>
      <c r="C28" t="s">
        <v>26</v>
      </c>
      <c r="D28" t="s">
        <v>44</v>
      </c>
      <c r="E28" t="s">
        <v>28</v>
      </c>
      <c r="F28">
        <v>1024</v>
      </c>
      <c r="I28">
        <v>134217550</v>
      </c>
      <c r="J28" t="s">
        <v>57</v>
      </c>
      <c r="K28" t="s">
        <v>166</v>
      </c>
      <c r="L28" t="s">
        <v>177</v>
      </c>
      <c r="M28" t="s">
        <v>167</v>
      </c>
      <c r="N28" t="s">
        <v>171</v>
      </c>
      <c r="O28" t="s">
        <v>172</v>
      </c>
      <c r="P28" t="s">
        <v>173</v>
      </c>
      <c r="Q28" t="s">
        <v>78</v>
      </c>
      <c r="R28" t="s">
        <v>110</v>
      </c>
      <c r="S28">
        <v>2025</v>
      </c>
      <c r="T28" t="s">
        <v>168</v>
      </c>
      <c r="U28" t="s">
        <v>169</v>
      </c>
      <c r="V28" s="10"/>
      <c r="W28" t="s">
        <v>10</v>
      </c>
    </row>
    <row r="29" spans="1:23" ht="48" customHeight="1" x14ac:dyDescent="0.2">
      <c r="A29" t="s">
        <v>178</v>
      </c>
      <c r="B29" t="s">
        <v>57</v>
      </c>
      <c r="C29" t="s">
        <v>26</v>
      </c>
      <c r="D29" t="s">
        <v>44</v>
      </c>
      <c r="E29" t="s">
        <v>28</v>
      </c>
      <c r="F29">
        <v>256</v>
      </c>
      <c r="I29">
        <v>134217550</v>
      </c>
      <c r="J29" t="s">
        <v>57</v>
      </c>
      <c r="K29" t="s">
        <v>166</v>
      </c>
      <c r="L29" t="s">
        <v>179</v>
      </c>
      <c r="M29" t="s">
        <v>167</v>
      </c>
      <c r="N29" t="s">
        <v>171</v>
      </c>
      <c r="O29" t="s">
        <v>172</v>
      </c>
      <c r="P29" t="s">
        <v>173</v>
      </c>
      <c r="Q29" t="s">
        <v>78</v>
      </c>
      <c r="R29" t="s">
        <v>110</v>
      </c>
      <c r="S29">
        <v>2025</v>
      </c>
      <c r="T29" t="s">
        <v>168</v>
      </c>
      <c r="U29" t="s">
        <v>169</v>
      </c>
      <c r="V29" s="10"/>
      <c r="W29" t="s">
        <v>10</v>
      </c>
    </row>
    <row r="30" spans="1:23" ht="48" customHeight="1" x14ac:dyDescent="0.2">
      <c r="A30" t="s">
        <v>180</v>
      </c>
      <c r="B30" t="s">
        <v>57</v>
      </c>
      <c r="C30" t="s">
        <v>26</v>
      </c>
      <c r="D30" t="s">
        <v>44</v>
      </c>
      <c r="E30" t="s">
        <v>28</v>
      </c>
      <c r="F30">
        <v>512</v>
      </c>
      <c r="I30">
        <v>134217550</v>
      </c>
      <c r="J30" t="s">
        <v>57</v>
      </c>
      <c r="K30" t="s">
        <v>166</v>
      </c>
      <c r="L30" t="s">
        <v>181</v>
      </c>
      <c r="M30" t="s">
        <v>167</v>
      </c>
      <c r="N30" t="s">
        <v>171</v>
      </c>
      <c r="O30" t="s">
        <v>172</v>
      </c>
      <c r="P30" t="s">
        <v>173</v>
      </c>
      <c r="Q30" t="s">
        <v>78</v>
      </c>
      <c r="R30" t="s">
        <v>110</v>
      </c>
      <c r="S30">
        <v>2025</v>
      </c>
      <c r="T30" t="s">
        <v>168</v>
      </c>
      <c r="U30" t="s">
        <v>169</v>
      </c>
      <c r="V30" s="10"/>
      <c r="W30" t="s">
        <v>10</v>
      </c>
    </row>
    <row r="31" spans="1:23" ht="48" customHeight="1" x14ac:dyDescent="0.2">
      <c r="A31" t="s">
        <v>182</v>
      </c>
      <c r="B31" t="s">
        <v>57</v>
      </c>
      <c r="C31" t="s">
        <v>26</v>
      </c>
      <c r="D31" t="s">
        <v>44</v>
      </c>
      <c r="E31" t="s">
        <v>28</v>
      </c>
      <c r="F31">
        <v>512</v>
      </c>
      <c r="I31">
        <v>134217550</v>
      </c>
      <c r="J31" t="s">
        <v>57</v>
      </c>
      <c r="K31" t="s">
        <v>166</v>
      </c>
      <c r="L31" t="s">
        <v>98</v>
      </c>
      <c r="M31" t="s">
        <v>167</v>
      </c>
      <c r="N31" t="s">
        <v>171</v>
      </c>
      <c r="O31" t="s">
        <v>172</v>
      </c>
      <c r="P31" t="s">
        <v>173</v>
      </c>
      <c r="Q31" t="s">
        <v>78</v>
      </c>
      <c r="R31" t="s">
        <v>110</v>
      </c>
      <c r="S31">
        <v>2025</v>
      </c>
      <c r="T31" t="s">
        <v>168</v>
      </c>
      <c r="U31" t="s">
        <v>169</v>
      </c>
      <c r="V31" s="10"/>
      <c r="W31" t="s">
        <v>10</v>
      </c>
    </row>
    <row r="32" spans="1:23" ht="48" customHeight="1" x14ac:dyDescent="0.2">
      <c r="A32" t="s">
        <v>184</v>
      </c>
      <c r="B32" t="s">
        <v>57</v>
      </c>
      <c r="C32" t="s">
        <v>26</v>
      </c>
      <c r="D32" t="s">
        <v>44</v>
      </c>
      <c r="E32" t="s">
        <v>25</v>
      </c>
      <c r="F32">
        <v>50000</v>
      </c>
      <c r="G32">
        <v>45000</v>
      </c>
      <c r="H32">
        <v>5000</v>
      </c>
      <c r="I32">
        <v>2200</v>
      </c>
      <c r="J32" t="s">
        <v>57</v>
      </c>
      <c r="K32" t="s">
        <v>29</v>
      </c>
      <c r="L32" t="s">
        <v>186</v>
      </c>
      <c r="M32" t="s">
        <v>185</v>
      </c>
      <c r="N32" t="s">
        <v>74</v>
      </c>
      <c r="O32" t="s">
        <v>190</v>
      </c>
      <c r="P32" t="s">
        <v>76</v>
      </c>
      <c r="Q32" t="s">
        <v>78</v>
      </c>
      <c r="R32" t="s">
        <v>110</v>
      </c>
      <c r="S32">
        <v>2018</v>
      </c>
      <c r="T32" t="s">
        <v>187</v>
      </c>
      <c r="U32" t="s">
        <v>188</v>
      </c>
      <c r="W32" t="s">
        <v>10</v>
      </c>
    </row>
    <row r="33" spans="1:23" ht="48" customHeight="1" x14ac:dyDescent="0.2">
      <c r="A33" t="s">
        <v>194</v>
      </c>
      <c r="B33" t="s">
        <v>25</v>
      </c>
      <c r="C33" t="s">
        <v>26</v>
      </c>
      <c r="D33" t="s">
        <v>44</v>
      </c>
      <c r="E33" t="s">
        <v>28</v>
      </c>
      <c r="F33">
        <v>42000</v>
      </c>
      <c r="I33">
        <v>650000</v>
      </c>
      <c r="J33" t="s">
        <v>57</v>
      </c>
      <c r="K33" t="s">
        <v>195</v>
      </c>
      <c r="L33" t="s">
        <v>186</v>
      </c>
      <c r="M33" t="s">
        <v>185</v>
      </c>
      <c r="N33" t="s">
        <v>74</v>
      </c>
      <c r="O33" t="s">
        <v>190</v>
      </c>
      <c r="P33" t="s">
        <v>76</v>
      </c>
      <c r="Q33" t="s">
        <v>78</v>
      </c>
      <c r="R33" t="s">
        <v>196</v>
      </c>
      <c r="S33">
        <v>2018</v>
      </c>
      <c r="T33" t="s">
        <v>193</v>
      </c>
      <c r="U33" t="s">
        <v>524</v>
      </c>
      <c r="W33" t="s">
        <v>10</v>
      </c>
    </row>
    <row r="34" spans="1:23" ht="48" customHeight="1" x14ac:dyDescent="0.2">
      <c r="A34" t="s">
        <v>197</v>
      </c>
      <c r="B34" t="s">
        <v>28</v>
      </c>
      <c r="C34" t="s">
        <v>26</v>
      </c>
      <c r="D34" t="s">
        <v>44</v>
      </c>
      <c r="E34" t="s">
        <v>28</v>
      </c>
      <c r="F34">
        <v>500000</v>
      </c>
      <c r="I34">
        <v>2200</v>
      </c>
      <c r="J34" t="s">
        <v>57</v>
      </c>
      <c r="K34" t="s">
        <v>29</v>
      </c>
      <c r="L34" t="s">
        <v>186</v>
      </c>
      <c r="M34" t="s">
        <v>185</v>
      </c>
      <c r="N34" t="s">
        <v>74</v>
      </c>
      <c r="O34" t="s">
        <v>190</v>
      </c>
      <c r="P34" t="s">
        <v>76</v>
      </c>
      <c r="Q34" t="s">
        <v>78</v>
      </c>
      <c r="R34" t="s">
        <v>524</v>
      </c>
      <c r="S34">
        <v>2018</v>
      </c>
      <c r="T34" t="s">
        <v>524</v>
      </c>
      <c r="U34" t="s">
        <v>524</v>
      </c>
      <c r="W34" t="s">
        <v>10</v>
      </c>
    </row>
    <row r="35" spans="1:23" ht="48" customHeight="1" x14ac:dyDescent="0.2">
      <c r="A35" t="s">
        <v>198</v>
      </c>
      <c r="B35" t="s">
        <v>25</v>
      </c>
      <c r="C35" t="s">
        <v>26</v>
      </c>
      <c r="D35" t="s">
        <v>199</v>
      </c>
      <c r="E35" t="s">
        <v>57</v>
      </c>
      <c r="F35" t="s">
        <v>200</v>
      </c>
      <c r="G35" t="s">
        <v>201</v>
      </c>
      <c r="H35" t="s">
        <v>202</v>
      </c>
      <c r="I35">
        <v>700</v>
      </c>
      <c r="J35" t="s">
        <v>25</v>
      </c>
      <c r="K35" t="s">
        <v>134</v>
      </c>
      <c r="L35" t="s">
        <v>203</v>
      </c>
      <c r="M35" t="s">
        <v>30</v>
      </c>
      <c r="N35" t="s">
        <v>35</v>
      </c>
      <c r="O35" t="s">
        <v>36</v>
      </c>
      <c r="P35" t="s">
        <v>37</v>
      </c>
      <c r="Q35" t="s">
        <v>41</v>
      </c>
      <c r="R35" t="s">
        <v>204</v>
      </c>
      <c r="S35">
        <v>2020</v>
      </c>
      <c r="T35" t="s">
        <v>205</v>
      </c>
      <c r="U35" t="s">
        <v>206</v>
      </c>
      <c r="V35" t="s">
        <v>207</v>
      </c>
      <c r="W35" t="s">
        <v>547</v>
      </c>
    </row>
    <row r="36" spans="1:23" ht="48" customHeight="1" x14ac:dyDescent="0.2">
      <c r="A36" t="s">
        <v>211</v>
      </c>
      <c r="B36" t="s">
        <v>25</v>
      </c>
      <c r="C36" t="s">
        <v>26</v>
      </c>
      <c r="D36" t="s">
        <v>199</v>
      </c>
      <c r="E36" t="s">
        <v>57</v>
      </c>
      <c r="F36" t="s">
        <v>212</v>
      </c>
      <c r="G36">
        <v>800000</v>
      </c>
      <c r="H36" t="s">
        <v>213</v>
      </c>
      <c r="I36">
        <v>62500</v>
      </c>
      <c r="J36" t="s">
        <v>25</v>
      </c>
      <c r="K36" t="s">
        <v>134</v>
      </c>
      <c r="L36" t="s">
        <v>203</v>
      </c>
      <c r="M36" t="s">
        <v>214</v>
      </c>
      <c r="N36" t="s">
        <v>216</v>
      </c>
      <c r="O36" t="s">
        <v>217</v>
      </c>
      <c r="P36" t="s">
        <v>76</v>
      </c>
      <c r="Q36" t="s">
        <v>78</v>
      </c>
      <c r="R36" t="s">
        <v>204</v>
      </c>
      <c r="S36">
        <v>2020</v>
      </c>
      <c r="T36" t="s">
        <v>205</v>
      </c>
      <c r="U36" t="s">
        <v>206</v>
      </c>
      <c r="V36" t="s">
        <v>215</v>
      </c>
      <c r="W36" t="s">
        <v>548</v>
      </c>
    </row>
    <row r="37" spans="1:23" ht="48" customHeight="1" x14ac:dyDescent="0.2">
      <c r="A37" t="s">
        <v>220</v>
      </c>
      <c r="B37" t="s">
        <v>57</v>
      </c>
      <c r="C37" t="s">
        <v>43</v>
      </c>
      <c r="D37" t="s">
        <v>44</v>
      </c>
      <c r="E37" t="s">
        <v>28</v>
      </c>
      <c r="F37">
        <v>3000000</v>
      </c>
      <c r="I37">
        <v>5000</v>
      </c>
      <c r="J37" t="s">
        <v>57</v>
      </c>
      <c r="K37" t="s">
        <v>58</v>
      </c>
      <c r="L37" t="s">
        <v>98</v>
      </c>
      <c r="M37" t="s">
        <v>221</v>
      </c>
      <c r="N37" t="s">
        <v>226</v>
      </c>
      <c r="O37" t="s">
        <v>227</v>
      </c>
      <c r="P37" t="s">
        <v>90</v>
      </c>
      <c r="Q37" t="s">
        <v>78</v>
      </c>
      <c r="R37" t="s">
        <v>204</v>
      </c>
      <c r="S37">
        <v>2024</v>
      </c>
      <c r="T37" t="s">
        <v>222</v>
      </c>
      <c r="U37" t="s">
        <v>223</v>
      </c>
      <c r="V37" t="s">
        <v>224</v>
      </c>
      <c r="W37" t="s">
        <v>10</v>
      </c>
    </row>
    <row r="38" spans="1:23" ht="48" customHeight="1" x14ac:dyDescent="0.2">
      <c r="A38" t="s">
        <v>230</v>
      </c>
      <c r="B38" t="s">
        <v>57</v>
      </c>
      <c r="C38" t="s">
        <v>43</v>
      </c>
      <c r="D38" t="s">
        <v>231</v>
      </c>
      <c r="E38" t="s">
        <v>57</v>
      </c>
      <c r="F38">
        <v>300</v>
      </c>
      <c r="G38">
        <v>250</v>
      </c>
      <c r="H38">
        <v>50</v>
      </c>
      <c r="I38">
        <v>1000</v>
      </c>
      <c r="J38" t="s">
        <v>25</v>
      </c>
      <c r="K38" t="s">
        <v>232</v>
      </c>
      <c r="L38" t="s">
        <v>233</v>
      </c>
      <c r="M38" t="s">
        <v>157</v>
      </c>
      <c r="N38" t="s">
        <v>74</v>
      </c>
      <c r="O38" t="s">
        <v>162</v>
      </c>
      <c r="P38" t="s">
        <v>76</v>
      </c>
      <c r="Q38" t="s">
        <v>78</v>
      </c>
      <c r="R38" t="s">
        <v>196</v>
      </c>
      <c r="S38">
        <v>2017</v>
      </c>
      <c r="T38" s="5" t="s">
        <v>234</v>
      </c>
      <c r="U38" s="5" t="s">
        <v>235</v>
      </c>
      <c r="V38" s="8" t="s">
        <v>240</v>
      </c>
      <c r="W38" s="8" t="s">
        <v>543</v>
      </c>
    </row>
    <row r="39" spans="1:23" ht="48" customHeight="1" x14ac:dyDescent="0.2">
      <c r="A39" t="s">
        <v>239</v>
      </c>
      <c r="B39" t="s">
        <v>57</v>
      </c>
      <c r="C39" t="s">
        <v>43</v>
      </c>
      <c r="D39" t="s">
        <v>231</v>
      </c>
      <c r="E39" t="s">
        <v>57</v>
      </c>
      <c r="F39">
        <v>300</v>
      </c>
      <c r="G39">
        <v>250</v>
      </c>
      <c r="H39">
        <v>50</v>
      </c>
      <c r="I39">
        <v>8000</v>
      </c>
      <c r="J39" t="s">
        <v>25</v>
      </c>
      <c r="K39" t="s">
        <v>232</v>
      </c>
      <c r="L39" t="s">
        <v>233</v>
      </c>
      <c r="M39" t="s">
        <v>157</v>
      </c>
      <c r="N39" t="s">
        <v>74</v>
      </c>
      <c r="O39" t="s">
        <v>162</v>
      </c>
      <c r="P39" t="s">
        <v>76</v>
      </c>
      <c r="Q39" t="s">
        <v>78</v>
      </c>
      <c r="R39" t="s">
        <v>196</v>
      </c>
      <c r="S39">
        <v>2017</v>
      </c>
      <c r="T39" t="s">
        <v>234</v>
      </c>
      <c r="U39" t="s">
        <v>235</v>
      </c>
      <c r="V39" s="8"/>
      <c r="W39" s="8"/>
    </row>
    <row r="40" spans="1:23" ht="48" customHeight="1" x14ac:dyDescent="0.2">
      <c r="A40" t="s">
        <v>241</v>
      </c>
      <c r="B40" t="s">
        <v>57</v>
      </c>
      <c r="C40" t="s">
        <v>26</v>
      </c>
      <c r="D40" t="s">
        <v>44</v>
      </c>
      <c r="E40" t="s">
        <v>57</v>
      </c>
      <c r="F40">
        <v>256000</v>
      </c>
      <c r="G40">
        <v>128000</v>
      </c>
      <c r="H40">
        <v>128000</v>
      </c>
      <c r="I40">
        <v>200000</v>
      </c>
      <c r="J40" t="s">
        <v>25</v>
      </c>
      <c r="K40" t="s">
        <v>242</v>
      </c>
      <c r="L40" t="s">
        <v>243</v>
      </c>
      <c r="M40" t="s">
        <v>167</v>
      </c>
      <c r="N40" t="s">
        <v>171</v>
      </c>
      <c r="O40" t="s">
        <v>172</v>
      </c>
      <c r="P40" t="s">
        <v>173</v>
      </c>
      <c r="Q40" t="s">
        <v>78</v>
      </c>
      <c r="R40" t="s">
        <v>110</v>
      </c>
      <c r="S40">
        <v>2025</v>
      </c>
      <c r="T40" t="s">
        <v>244</v>
      </c>
      <c r="U40" t="s">
        <v>245</v>
      </c>
      <c r="V40" t="s">
        <v>246</v>
      </c>
      <c r="W40" t="s">
        <v>10</v>
      </c>
    </row>
    <row r="41" spans="1:23" ht="48" customHeight="1" x14ac:dyDescent="0.2">
      <c r="A41" t="s">
        <v>248</v>
      </c>
      <c r="B41" t="s">
        <v>57</v>
      </c>
      <c r="C41" t="s">
        <v>26</v>
      </c>
      <c r="D41" t="s">
        <v>249</v>
      </c>
      <c r="E41" t="s">
        <v>25</v>
      </c>
      <c r="F41">
        <v>60000</v>
      </c>
      <c r="G41">
        <v>50000</v>
      </c>
      <c r="H41">
        <v>10000</v>
      </c>
      <c r="I41">
        <v>20000</v>
      </c>
      <c r="J41" t="s">
        <v>57</v>
      </c>
      <c r="K41" t="s">
        <v>134</v>
      </c>
      <c r="L41" t="s">
        <v>28</v>
      </c>
      <c r="M41" t="s">
        <v>250</v>
      </c>
      <c r="N41" t="s">
        <v>127</v>
      </c>
      <c r="O41" t="s">
        <v>253</v>
      </c>
      <c r="P41" t="s">
        <v>76</v>
      </c>
      <c r="Q41" t="s">
        <v>78</v>
      </c>
      <c r="R41" t="s">
        <v>46</v>
      </c>
      <c r="S41">
        <v>2025</v>
      </c>
      <c r="T41" t="s">
        <v>251</v>
      </c>
      <c r="V41" s="5" t="s">
        <v>536</v>
      </c>
      <c r="W41" t="s">
        <v>535</v>
      </c>
    </row>
    <row r="42" spans="1:23" ht="48" customHeight="1" x14ac:dyDescent="0.2">
      <c r="A42" t="s">
        <v>256</v>
      </c>
      <c r="B42" t="s">
        <v>57</v>
      </c>
      <c r="C42" t="s">
        <v>108</v>
      </c>
      <c r="D42" t="s">
        <v>257</v>
      </c>
      <c r="E42" t="s">
        <v>28</v>
      </c>
      <c r="F42">
        <v>81089</v>
      </c>
      <c r="I42">
        <v>20176</v>
      </c>
      <c r="J42" t="s">
        <v>57</v>
      </c>
      <c r="K42" t="s">
        <v>58</v>
      </c>
      <c r="L42" t="s">
        <v>28</v>
      </c>
      <c r="M42" t="s">
        <v>258</v>
      </c>
      <c r="N42" t="s">
        <v>263</v>
      </c>
      <c r="O42" t="s">
        <v>264</v>
      </c>
      <c r="P42" t="s">
        <v>265</v>
      </c>
      <c r="Q42" t="s">
        <v>267</v>
      </c>
      <c r="R42" t="s">
        <v>259</v>
      </c>
      <c r="S42">
        <v>2008</v>
      </c>
      <c r="T42" t="s">
        <v>260</v>
      </c>
      <c r="U42" t="s">
        <v>261</v>
      </c>
      <c r="V42" s="11"/>
      <c r="W42" t="s">
        <v>10</v>
      </c>
    </row>
    <row r="43" spans="1:23" ht="48" customHeight="1" x14ac:dyDescent="0.2">
      <c r="A43" t="s">
        <v>268</v>
      </c>
      <c r="B43" t="s">
        <v>57</v>
      </c>
      <c r="C43" t="s">
        <v>108</v>
      </c>
      <c r="D43" t="s">
        <v>257</v>
      </c>
      <c r="E43" t="s">
        <v>28</v>
      </c>
      <c r="F43">
        <v>81569</v>
      </c>
      <c r="I43">
        <v>5003</v>
      </c>
      <c r="J43" t="s">
        <v>57</v>
      </c>
      <c r="K43" t="s">
        <v>58</v>
      </c>
      <c r="L43" t="s">
        <v>28</v>
      </c>
      <c r="M43" t="s">
        <v>269</v>
      </c>
      <c r="N43" t="s">
        <v>263</v>
      </c>
      <c r="O43" t="s">
        <v>271</v>
      </c>
      <c r="P43" t="s">
        <v>265</v>
      </c>
      <c r="Q43" t="s">
        <v>267</v>
      </c>
      <c r="R43" t="s">
        <v>259</v>
      </c>
      <c r="S43">
        <v>2008</v>
      </c>
      <c r="T43" t="s">
        <v>260</v>
      </c>
      <c r="U43" t="s">
        <v>261</v>
      </c>
      <c r="V43" s="11" t="s">
        <v>537</v>
      </c>
      <c r="W43" t="s">
        <v>10</v>
      </c>
    </row>
    <row r="44" spans="1:23" ht="48" customHeight="1" x14ac:dyDescent="0.2">
      <c r="A44" t="s">
        <v>273</v>
      </c>
      <c r="B44" t="s">
        <v>57</v>
      </c>
      <c r="C44" t="s">
        <v>108</v>
      </c>
      <c r="D44" t="s">
        <v>257</v>
      </c>
      <c r="E44" t="s">
        <v>28</v>
      </c>
      <c r="F44">
        <v>67753</v>
      </c>
      <c r="I44">
        <v>50003</v>
      </c>
      <c r="J44" t="s">
        <v>57</v>
      </c>
      <c r="K44" t="s">
        <v>58</v>
      </c>
      <c r="L44" t="s">
        <v>28</v>
      </c>
      <c r="M44" t="s">
        <v>269</v>
      </c>
      <c r="N44" t="s">
        <v>275</v>
      </c>
      <c r="O44" t="s">
        <v>276</v>
      </c>
      <c r="P44" t="s">
        <v>37</v>
      </c>
      <c r="Q44" t="s">
        <v>41</v>
      </c>
      <c r="R44" t="s">
        <v>259</v>
      </c>
      <c r="S44">
        <v>2008</v>
      </c>
      <c r="T44" t="s">
        <v>260</v>
      </c>
      <c r="U44" t="s">
        <v>261</v>
      </c>
      <c r="V44" s="11"/>
      <c r="W44" t="s">
        <v>10</v>
      </c>
    </row>
    <row r="45" spans="1:23" ht="48" customHeight="1" x14ac:dyDescent="0.2">
      <c r="A45" t="s">
        <v>279</v>
      </c>
      <c r="B45" t="s">
        <v>57</v>
      </c>
      <c r="C45" t="s">
        <v>108</v>
      </c>
      <c r="D45" t="s">
        <v>44</v>
      </c>
      <c r="E45" t="s">
        <v>57</v>
      </c>
      <c r="F45">
        <v>1640000</v>
      </c>
      <c r="G45">
        <v>1000000</v>
      </c>
      <c r="H45">
        <v>640000</v>
      </c>
      <c r="I45">
        <v>3256</v>
      </c>
      <c r="J45" t="s">
        <v>57</v>
      </c>
      <c r="K45" t="s">
        <v>119</v>
      </c>
      <c r="L45" t="s">
        <v>28</v>
      </c>
      <c r="M45" t="s">
        <v>45</v>
      </c>
      <c r="N45" t="s">
        <v>49</v>
      </c>
      <c r="O45" t="s">
        <v>50</v>
      </c>
      <c r="P45" t="s">
        <v>37</v>
      </c>
      <c r="Q45" t="s">
        <v>41</v>
      </c>
      <c r="R45" t="s">
        <v>280</v>
      </c>
      <c r="S45">
        <v>2010</v>
      </c>
      <c r="T45" t="s">
        <v>281</v>
      </c>
      <c r="U45" t="s">
        <v>282</v>
      </c>
      <c r="V45" s="11"/>
      <c r="W45" t="s">
        <v>10</v>
      </c>
    </row>
    <row r="46" spans="1:23" ht="48" customHeight="1" x14ac:dyDescent="0.2">
      <c r="A46" t="s">
        <v>285</v>
      </c>
      <c r="B46" t="s">
        <v>57</v>
      </c>
      <c r="C46" t="s">
        <v>108</v>
      </c>
      <c r="D46" t="s">
        <v>286</v>
      </c>
      <c r="E46" t="s">
        <v>28</v>
      </c>
      <c r="F46">
        <v>100000</v>
      </c>
      <c r="I46">
        <v>435002</v>
      </c>
      <c r="J46" t="s">
        <v>57</v>
      </c>
      <c r="K46" t="s">
        <v>29</v>
      </c>
      <c r="L46" t="s">
        <v>288</v>
      </c>
      <c r="M46" t="s">
        <v>287</v>
      </c>
      <c r="N46" t="s">
        <v>103</v>
      </c>
      <c r="O46" t="s">
        <v>292</v>
      </c>
      <c r="P46" t="s">
        <v>76</v>
      </c>
      <c r="Q46" t="s">
        <v>78</v>
      </c>
      <c r="R46" t="s">
        <v>289</v>
      </c>
      <c r="S46">
        <v>2013</v>
      </c>
      <c r="T46" t="s">
        <v>290</v>
      </c>
      <c r="U46" t="s">
        <v>290</v>
      </c>
      <c r="V46" s="11"/>
      <c r="W46" t="s">
        <v>10</v>
      </c>
    </row>
    <row r="47" spans="1:23" ht="48" customHeight="1" x14ac:dyDescent="0.2">
      <c r="A47" t="s">
        <v>294</v>
      </c>
      <c r="B47" t="s">
        <v>57</v>
      </c>
      <c r="C47" t="s">
        <v>26</v>
      </c>
      <c r="D47" t="s">
        <v>44</v>
      </c>
      <c r="E47" t="s">
        <v>28</v>
      </c>
      <c r="F47">
        <v>80000</v>
      </c>
      <c r="I47">
        <v>1704402</v>
      </c>
      <c r="J47" t="s">
        <v>57</v>
      </c>
      <c r="K47" t="s">
        <v>295</v>
      </c>
      <c r="L47" t="s">
        <v>288</v>
      </c>
      <c r="M47" t="s">
        <v>287</v>
      </c>
      <c r="N47" t="s">
        <v>103</v>
      </c>
      <c r="O47" t="s">
        <v>292</v>
      </c>
      <c r="P47" t="s">
        <v>76</v>
      </c>
      <c r="Q47" t="s">
        <v>78</v>
      </c>
      <c r="R47" t="s">
        <v>289</v>
      </c>
      <c r="S47">
        <v>2014</v>
      </c>
      <c r="T47" t="s">
        <v>296</v>
      </c>
      <c r="U47" t="s">
        <v>296</v>
      </c>
      <c r="V47" s="11"/>
      <c r="W47" t="s">
        <v>10</v>
      </c>
    </row>
    <row r="48" spans="1:23" ht="48" customHeight="1" x14ac:dyDescent="0.2">
      <c r="A48" t="s">
        <v>297</v>
      </c>
      <c r="B48" t="s">
        <v>57</v>
      </c>
      <c r="C48" t="s">
        <v>43</v>
      </c>
      <c r="D48" t="s">
        <v>44</v>
      </c>
      <c r="E48" t="s">
        <v>28</v>
      </c>
      <c r="F48">
        <v>100000</v>
      </c>
      <c r="I48">
        <v>1400</v>
      </c>
      <c r="J48" t="s">
        <v>57</v>
      </c>
      <c r="K48" t="s">
        <v>29</v>
      </c>
      <c r="L48" t="s">
        <v>28</v>
      </c>
      <c r="M48" t="s">
        <v>298</v>
      </c>
      <c r="N48" t="s">
        <v>127</v>
      </c>
      <c r="O48" t="s">
        <v>303</v>
      </c>
      <c r="P48" t="s">
        <v>76</v>
      </c>
      <c r="Q48" t="s">
        <v>78</v>
      </c>
      <c r="R48" t="s">
        <v>299</v>
      </c>
      <c r="S48">
        <v>2023</v>
      </c>
      <c r="T48" t="s">
        <v>300</v>
      </c>
      <c r="U48" t="s">
        <v>301</v>
      </c>
      <c r="V48" s="11"/>
      <c r="W48" t="s">
        <v>10</v>
      </c>
    </row>
    <row r="49" spans="1:23" ht="48" customHeight="1" x14ac:dyDescent="0.2">
      <c r="A49" t="s">
        <v>305</v>
      </c>
      <c r="B49" t="s">
        <v>57</v>
      </c>
      <c r="C49" t="s">
        <v>43</v>
      </c>
      <c r="D49" t="s">
        <v>44</v>
      </c>
      <c r="E49" t="s">
        <v>28</v>
      </c>
      <c r="F49">
        <v>100000</v>
      </c>
      <c r="I49">
        <v>1400</v>
      </c>
      <c r="J49" t="s">
        <v>57</v>
      </c>
      <c r="K49" t="s">
        <v>29</v>
      </c>
      <c r="L49" t="s">
        <v>306</v>
      </c>
      <c r="M49" t="s">
        <v>298</v>
      </c>
      <c r="N49" t="s">
        <v>127</v>
      </c>
      <c r="O49" t="s">
        <v>303</v>
      </c>
      <c r="P49" t="s">
        <v>76</v>
      </c>
      <c r="Q49" t="s">
        <v>78</v>
      </c>
      <c r="R49" t="s">
        <v>299</v>
      </c>
      <c r="S49">
        <v>2023</v>
      </c>
      <c r="T49" t="s">
        <v>300</v>
      </c>
      <c r="U49" t="s">
        <v>301</v>
      </c>
      <c r="W49" t="s">
        <v>10</v>
      </c>
    </row>
    <row r="50" spans="1:23" ht="48" customHeight="1" x14ac:dyDescent="0.2">
      <c r="A50" t="s">
        <v>308</v>
      </c>
      <c r="B50" t="s">
        <v>25</v>
      </c>
      <c r="C50" t="s">
        <v>43</v>
      </c>
      <c r="D50" t="s">
        <v>44</v>
      </c>
      <c r="E50" t="s">
        <v>57</v>
      </c>
      <c r="F50">
        <v>600000</v>
      </c>
      <c r="G50">
        <v>500000</v>
      </c>
      <c r="H50">
        <v>100000</v>
      </c>
      <c r="I50">
        <v>7000</v>
      </c>
      <c r="J50" t="s">
        <v>25</v>
      </c>
      <c r="K50" t="s">
        <v>309</v>
      </c>
      <c r="L50" t="s">
        <v>28</v>
      </c>
      <c r="M50" t="s">
        <v>310</v>
      </c>
      <c r="N50" t="s">
        <v>315</v>
      </c>
      <c r="O50" t="s">
        <v>316</v>
      </c>
      <c r="P50" t="s">
        <v>173</v>
      </c>
      <c r="Q50" t="s">
        <v>78</v>
      </c>
      <c r="R50" t="s">
        <v>110</v>
      </c>
      <c r="S50">
        <v>2025</v>
      </c>
      <c r="T50" t="s">
        <v>311</v>
      </c>
      <c r="U50" t="s">
        <v>312</v>
      </c>
      <c r="V50" t="s">
        <v>313</v>
      </c>
      <c r="W50" t="s">
        <v>10</v>
      </c>
    </row>
    <row r="51" spans="1:23" ht="48" customHeight="1" x14ac:dyDescent="0.2">
      <c r="A51" t="s">
        <v>318</v>
      </c>
      <c r="B51" t="s">
        <v>25</v>
      </c>
      <c r="C51" t="s">
        <v>26</v>
      </c>
      <c r="D51" t="s">
        <v>319</v>
      </c>
      <c r="E51" t="s">
        <v>28</v>
      </c>
      <c r="F51">
        <v>100000</v>
      </c>
      <c r="I51">
        <v>50000</v>
      </c>
      <c r="J51" t="s">
        <v>25</v>
      </c>
      <c r="K51" t="s">
        <v>29</v>
      </c>
      <c r="L51" t="s">
        <v>28</v>
      </c>
      <c r="M51" t="s">
        <v>320</v>
      </c>
      <c r="N51" t="s">
        <v>127</v>
      </c>
      <c r="O51" t="s">
        <v>324</v>
      </c>
      <c r="P51" t="s">
        <v>76</v>
      </c>
      <c r="Q51" t="s">
        <v>78</v>
      </c>
      <c r="R51" t="s">
        <v>99</v>
      </c>
      <c r="S51">
        <v>2025</v>
      </c>
      <c r="T51" t="s">
        <v>321</v>
      </c>
      <c r="U51" t="s">
        <v>322</v>
      </c>
      <c r="W51" t="s">
        <v>534</v>
      </c>
    </row>
    <row r="52" spans="1:23" ht="48" customHeight="1" x14ac:dyDescent="0.2">
      <c r="A52" t="s">
        <v>326</v>
      </c>
      <c r="B52" t="s">
        <v>28</v>
      </c>
      <c r="C52" t="s">
        <v>26</v>
      </c>
      <c r="D52" t="s">
        <v>44</v>
      </c>
      <c r="E52" t="s">
        <v>57</v>
      </c>
      <c r="F52">
        <v>8000</v>
      </c>
      <c r="G52">
        <v>6000</v>
      </c>
      <c r="H52" t="s">
        <v>327</v>
      </c>
      <c r="I52">
        <v>400</v>
      </c>
      <c r="K52" t="s">
        <v>29</v>
      </c>
      <c r="L52" t="s">
        <v>28</v>
      </c>
      <c r="M52" t="s">
        <v>68</v>
      </c>
      <c r="N52" t="s">
        <v>74</v>
      </c>
      <c r="O52" t="s">
        <v>75</v>
      </c>
      <c r="P52" t="s">
        <v>76</v>
      </c>
      <c r="Q52" t="s">
        <v>78</v>
      </c>
      <c r="R52" t="s">
        <v>524</v>
      </c>
      <c r="S52">
        <v>2020</v>
      </c>
      <c r="T52" t="s">
        <v>524</v>
      </c>
      <c r="U52" t="s">
        <v>328</v>
      </c>
      <c r="W52" t="s">
        <v>524</v>
      </c>
    </row>
    <row r="53" spans="1:23" ht="48" customHeight="1" x14ac:dyDescent="0.2">
      <c r="A53" t="s">
        <v>332</v>
      </c>
      <c r="B53" t="s">
        <v>25</v>
      </c>
      <c r="C53" t="s">
        <v>26</v>
      </c>
      <c r="D53" t="s">
        <v>44</v>
      </c>
      <c r="E53" t="s">
        <v>28</v>
      </c>
      <c r="F53">
        <v>351388</v>
      </c>
      <c r="I53">
        <v>2500</v>
      </c>
      <c r="J53" t="s">
        <v>57</v>
      </c>
      <c r="K53" t="s">
        <v>29</v>
      </c>
      <c r="L53" t="s">
        <v>28</v>
      </c>
      <c r="M53" t="s">
        <v>333</v>
      </c>
      <c r="N53" t="s">
        <v>103</v>
      </c>
      <c r="O53" t="s">
        <v>339</v>
      </c>
      <c r="P53" t="s">
        <v>90</v>
      </c>
      <c r="Q53" t="s">
        <v>78</v>
      </c>
      <c r="R53" t="s">
        <v>334</v>
      </c>
      <c r="S53">
        <v>2020</v>
      </c>
      <c r="T53" t="s">
        <v>335</v>
      </c>
      <c r="U53" t="s">
        <v>336</v>
      </c>
      <c r="V53" t="s">
        <v>337</v>
      </c>
      <c r="W53" t="s">
        <v>10</v>
      </c>
    </row>
    <row r="54" spans="1:23" ht="48" customHeight="1" x14ac:dyDescent="0.2">
      <c r="A54" t="s">
        <v>341</v>
      </c>
      <c r="B54" t="s">
        <v>25</v>
      </c>
      <c r="C54" t="s">
        <v>26</v>
      </c>
      <c r="D54" t="s">
        <v>342</v>
      </c>
      <c r="E54" t="s">
        <v>28</v>
      </c>
      <c r="F54">
        <v>1000</v>
      </c>
      <c r="I54">
        <v>5000</v>
      </c>
      <c r="J54" t="s">
        <v>25</v>
      </c>
      <c r="K54" t="s">
        <v>29</v>
      </c>
      <c r="L54" t="s">
        <v>28</v>
      </c>
      <c r="M54" t="s">
        <v>30</v>
      </c>
      <c r="N54" t="s">
        <v>35</v>
      </c>
      <c r="O54" t="s">
        <v>36</v>
      </c>
      <c r="P54" t="s">
        <v>37</v>
      </c>
      <c r="Q54" t="s">
        <v>41</v>
      </c>
      <c r="R54" t="s">
        <v>343</v>
      </c>
      <c r="S54">
        <v>2021</v>
      </c>
      <c r="T54" t="s">
        <v>40</v>
      </c>
      <c r="U54" t="s">
        <v>344</v>
      </c>
      <c r="W54" s="8" t="s">
        <v>345</v>
      </c>
    </row>
    <row r="55" spans="1:23" ht="48" customHeight="1" x14ac:dyDescent="0.2">
      <c r="A55" t="s">
        <v>346</v>
      </c>
      <c r="B55" t="s">
        <v>25</v>
      </c>
      <c r="C55" t="s">
        <v>26</v>
      </c>
      <c r="D55" t="s">
        <v>342</v>
      </c>
      <c r="E55" t="s">
        <v>28</v>
      </c>
      <c r="F55">
        <v>1000</v>
      </c>
      <c r="I55">
        <v>5000</v>
      </c>
      <c r="J55" t="s">
        <v>25</v>
      </c>
      <c r="K55" t="s">
        <v>29</v>
      </c>
      <c r="L55" t="s">
        <v>347</v>
      </c>
      <c r="M55" t="s">
        <v>30</v>
      </c>
      <c r="N55" t="s">
        <v>35</v>
      </c>
      <c r="O55" t="s">
        <v>36</v>
      </c>
      <c r="P55" t="s">
        <v>37</v>
      </c>
      <c r="Q55" t="s">
        <v>41</v>
      </c>
      <c r="R55" t="s">
        <v>343</v>
      </c>
      <c r="S55">
        <v>2021</v>
      </c>
      <c r="T55" t="s">
        <v>40</v>
      </c>
      <c r="U55" t="s">
        <v>344</v>
      </c>
      <c r="W55" s="8"/>
    </row>
    <row r="56" spans="1:23" ht="48" customHeight="1" x14ac:dyDescent="0.2">
      <c r="A56" t="s">
        <v>348</v>
      </c>
      <c r="B56" t="s">
        <v>25</v>
      </c>
      <c r="C56" t="s">
        <v>26</v>
      </c>
      <c r="D56" t="s">
        <v>342</v>
      </c>
      <c r="E56" t="s">
        <v>28</v>
      </c>
      <c r="F56">
        <v>5000</v>
      </c>
      <c r="I56">
        <v>5000</v>
      </c>
      <c r="J56" t="s">
        <v>25</v>
      </c>
      <c r="K56" t="s">
        <v>29</v>
      </c>
      <c r="L56" t="s">
        <v>349</v>
      </c>
      <c r="M56" t="s">
        <v>30</v>
      </c>
      <c r="N56" t="s">
        <v>35</v>
      </c>
      <c r="O56" t="s">
        <v>36</v>
      </c>
      <c r="P56" t="s">
        <v>37</v>
      </c>
      <c r="Q56" t="s">
        <v>41</v>
      </c>
      <c r="R56" t="s">
        <v>343</v>
      </c>
      <c r="S56">
        <v>2021</v>
      </c>
      <c r="T56" t="s">
        <v>40</v>
      </c>
      <c r="U56" t="s">
        <v>344</v>
      </c>
      <c r="V56" s="11"/>
      <c r="W56" s="8"/>
    </row>
    <row r="57" spans="1:23" ht="48" customHeight="1" x14ac:dyDescent="0.2">
      <c r="A57" t="s">
        <v>350</v>
      </c>
      <c r="B57" t="s">
        <v>25</v>
      </c>
      <c r="C57" t="s">
        <v>26</v>
      </c>
      <c r="D57" t="s">
        <v>342</v>
      </c>
      <c r="E57" t="s">
        <v>28</v>
      </c>
      <c r="F57">
        <v>10000000</v>
      </c>
      <c r="I57">
        <v>5000</v>
      </c>
      <c r="J57" t="s">
        <v>25</v>
      </c>
      <c r="K57" t="s">
        <v>29</v>
      </c>
      <c r="L57" t="s">
        <v>28</v>
      </c>
      <c r="M57" t="s">
        <v>30</v>
      </c>
      <c r="N57" t="s">
        <v>35</v>
      </c>
      <c r="O57" t="s">
        <v>36</v>
      </c>
      <c r="P57" t="s">
        <v>37</v>
      </c>
      <c r="Q57" t="s">
        <v>41</v>
      </c>
      <c r="R57" t="s">
        <v>343</v>
      </c>
      <c r="S57">
        <v>2021</v>
      </c>
      <c r="T57" t="s">
        <v>40</v>
      </c>
      <c r="U57" t="s">
        <v>344</v>
      </c>
      <c r="V57" s="11"/>
      <c r="W57" s="8"/>
    </row>
    <row r="58" spans="1:23" ht="48" customHeight="1" x14ac:dyDescent="0.2">
      <c r="A58" t="s">
        <v>351</v>
      </c>
      <c r="B58" t="s">
        <v>25</v>
      </c>
      <c r="C58" t="s">
        <v>26</v>
      </c>
      <c r="D58" t="s">
        <v>342</v>
      </c>
      <c r="E58" t="s">
        <v>28</v>
      </c>
      <c r="F58">
        <v>10000000</v>
      </c>
      <c r="I58">
        <v>5000</v>
      </c>
      <c r="J58" t="s">
        <v>25</v>
      </c>
      <c r="K58" t="s">
        <v>29</v>
      </c>
      <c r="L58" t="s">
        <v>347</v>
      </c>
      <c r="M58" t="s">
        <v>30</v>
      </c>
      <c r="N58" t="s">
        <v>35</v>
      </c>
      <c r="O58" t="s">
        <v>36</v>
      </c>
      <c r="P58" t="s">
        <v>37</v>
      </c>
      <c r="Q58" t="s">
        <v>41</v>
      </c>
      <c r="R58" t="s">
        <v>343</v>
      </c>
      <c r="S58">
        <v>2021</v>
      </c>
      <c r="T58" t="s">
        <v>40</v>
      </c>
      <c r="U58" t="s">
        <v>344</v>
      </c>
      <c r="V58" s="11"/>
      <c r="W58" s="8"/>
    </row>
    <row r="59" spans="1:23" ht="48" customHeight="1" x14ac:dyDescent="0.2">
      <c r="A59" t="s">
        <v>352</v>
      </c>
      <c r="B59" t="s">
        <v>25</v>
      </c>
      <c r="C59" t="s">
        <v>26</v>
      </c>
      <c r="D59" t="s">
        <v>342</v>
      </c>
      <c r="E59" t="s">
        <v>28</v>
      </c>
      <c r="F59">
        <v>50000000</v>
      </c>
      <c r="I59">
        <v>5000</v>
      </c>
      <c r="J59" t="s">
        <v>25</v>
      </c>
      <c r="K59" t="s">
        <v>29</v>
      </c>
      <c r="L59" t="s">
        <v>28</v>
      </c>
      <c r="M59" t="s">
        <v>30</v>
      </c>
      <c r="N59" t="s">
        <v>35</v>
      </c>
      <c r="O59" t="s">
        <v>36</v>
      </c>
      <c r="P59" t="s">
        <v>37</v>
      </c>
      <c r="Q59" t="s">
        <v>41</v>
      </c>
      <c r="R59" t="s">
        <v>343</v>
      </c>
      <c r="S59">
        <v>2021</v>
      </c>
      <c r="T59" t="s">
        <v>40</v>
      </c>
      <c r="U59" t="s">
        <v>344</v>
      </c>
      <c r="V59" s="11"/>
      <c r="W59" s="8"/>
    </row>
    <row r="60" spans="1:23" ht="48" customHeight="1" x14ac:dyDescent="0.2">
      <c r="A60" t="s">
        <v>353</v>
      </c>
      <c r="B60" t="s">
        <v>25</v>
      </c>
      <c r="C60" t="s">
        <v>26</v>
      </c>
      <c r="D60" t="s">
        <v>342</v>
      </c>
      <c r="E60" t="s">
        <v>28</v>
      </c>
      <c r="F60">
        <v>50000000</v>
      </c>
      <c r="I60">
        <v>5000</v>
      </c>
      <c r="J60" t="s">
        <v>25</v>
      </c>
      <c r="K60" t="s">
        <v>29</v>
      </c>
      <c r="L60" t="s">
        <v>347</v>
      </c>
      <c r="M60" t="s">
        <v>30</v>
      </c>
      <c r="N60" t="s">
        <v>35</v>
      </c>
      <c r="O60" t="s">
        <v>36</v>
      </c>
      <c r="P60" t="s">
        <v>37</v>
      </c>
      <c r="Q60" t="s">
        <v>41</v>
      </c>
      <c r="R60" t="s">
        <v>343</v>
      </c>
      <c r="S60">
        <v>2021</v>
      </c>
      <c r="T60" t="s">
        <v>40</v>
      </c>
      <c r="U60" t="s">
        <v>344</v>
      </c>
      <c r="W60" s="8"/>
    </row>
    <row r="61" spans="1:23" ht="48" customHeight="1" x14ac:dyDescent="0.2">
      <c r="A61" t="s">
        <v>354</v>
      </c>
      <c r="B61" t="s">
        <v>25</v>
      </c>
      <c r="C61" t="s">
        <v>26</v>
      </c>
      <c r="D61" t="s">
        <v>342</v>
      </c>
      <c r="E61" t="s">
        <v>28</v>
      </c>
      <c r="F61">
        <v>50000000</v>
      </c>
      <c r="I61">
        <v>2000</v>
      </c>
      <c r="J61" t="s">
        <v>25</v>
      </c>
      <c r="K61" t="s">
        <v>29</v>
      </c>
      <c r="L61" t="s">
        <v>28</v>
      </c>
      <c r="M61" t="s">
        <v>30</v>
      </c>
      <c r="N61" t="s">
        <v>35</v>
      </c>
      <c r="O61" t="s">
        <v>36</v>
      </c>
      <c r="P61" t="s">
        <v>37</v>
      </c>
      <c r="Q61" t="s">
        <v>41</v>
      </c>
      <c r="R61" t="s">
        <v>343</v>
      </c>
      <c r="S61">
        <v>2021</v>
      </c>
      <c r="T61" t="s">
        <v>40</v>
      </c>
      <c r="U61" t="s">
        <v>344</v>
      </c>
      <c r="W61" s="8"/>
    </row>
    <row r="62" spans="1:23" ht="48" customHeight="1" x14ac:dyDescent="0.2">
      <c r="A62" t="s">
        <v>355</v>
      </c>
      <c r="B62" t="s">
        <v>25</v>
      </c>
      <c r="C62" t="s">
        <v>26</v>
      </c>
      <c r="D62" t="s">
        <v>342</v>
      </c>
      <c r="E62" t="s">
        <v>28</v>
      </c>
      <c r="F62">
        <v>100000</v>
      </c>
      <c r="I62">
        <v>200000</v>
      </c>
      <c r="J62" t="s">
        <v>25</v>
      </c>
      <c r="K62" t="s">
        <v>29</v>
      </c>
      <c r="L62" t="s">
        <v>28</v>
      </c>
      <c r="M62" t="s">
        <v>30</v>
      </c>
      <c r="N62" t="s">
        <v>35</v>
      </c>
      <c r="O62" t="s">
        <v>36</v>
      </c>
      <c r="P62" t="s">
        <v>37</v>
      </c>
      <c r="Q62" t="s">
        <v>41</v>
      </c>
      <c r="R62" t="s">
        <v>343</v>
      </c>
      <c r="S62">
        <v>2021</v>
      </c>
      <c r="T62" t="s">
        <v>40</v>
      </c>
      <c r="U62" t="s">
        <v>344</v>
      </c>
      <c r="W62" s="8"/>
    </row>
    <row r="63" spans="1:23" ht="48" customHeight="1" x14ac:dyDescent="0.2">
      <c r="A63" t="s">
        <v>356</v>
      </c>
      <c r="B63" t="s">
        <v>57</v>
      </c>
      <c r="C63" t="s">
        <v>26</v>
      </c>
      <c r="D63" t="s">
        <v>342</v>
      </c>
      <c r="E63" t="s">
        <v>28</v>
      </c>
      <c r="F63">
        <v>50000</v>
      </c>
      <c r="I63">
        <v>110</v>
      </c>
      <c r="J63" t="s">
        <v>25</v>
      </c>
      <c r="K63" t="s">
        <v>29</v>
      </c>
      <c r="L63" t="s">
        <v>28</v>
      </c>
      <c r="M63" t="s">
        <v>30</v>
      </c>
      <c r="N63" t="s">
        <v>35</v>
      </c>
      <c r="O63" t="s">
        <v>36</v>
      </c>
      <c r="P63" t="s">
        <v>37</v>
      </c>
      <c r="Q63" t="s">
        <v>41</v>
      </c>
      <c r="R63" t="s">
        <v>525</v>
      </c>
      <c r="S63">
        <v>2023</v>
      </c>
      <c r="T63" t="s">
        <v>31</v>
      </c>
      <c r="U63" t="s">
        <v>32</v>
      </c>
      <c r="W63" t="s">
        <v>10</v>
      </c>
    </row>
    <row r="64" spans="1:23" ht="48" customHeight="1" x14ac:dyDescent="0.2">
      <c r="A64" t="s">
        <v>357</v>
      </c>
      <c r="B64" t="s">
        <v>57</v>
      </c>
      <c r="C64" t="s">
        <v>108</v>
      </c>
      <c r="D64" t="s">
        <v>358</v>
      </c>
      <c r="E64" t="s">
        <v>57</v>
      </c>
      <c r="F64">
        <v>50000</v>
      </c>
      <c r="G64">
        <v>40000</v>
      </c>
      <c r="H64">
        <v>10000</v>
      </c>
      <c r="I64">
        <v>300</v>
      </c>
      <c r="J64" t="s">
        <v>25</v>
      </c>
      <c r="K64" t="s">
        <v>58</v>
      </c>
      <c r="L64" t="s">
        <v>28</v>
      </c>
      <c r="M64" t="s">
        <v>359</v>
      </c>
      <c r="N64" t="s">
        <v>362</v>
      </c>
      <c r="O64" t="s">
        <v>363</v>
      </c>
      <c r="P64" t="s">
        <v>37</v>
      </c>
      <c r="Q64" t="s">
        <v>41</v>
      </c>
      <c r="R64" t="s">
        <v>46</v>
      </c>
      <c r="S64">
        <v>2021</v>
      </c>
      <c r="T64" t="s">
        <v>360</v>
      </c>
      <c r="U64" t="s">
        <v>361</v>
      </c>
      <c r="W64" t="s">
        <v>10</v>
      </c>
    </row>
    <row r="65" spans="1:23" ht="48" customHeight="1" x14ac:dyDescent="0.2">
      <c r="A65" t="s">
        <v>365</v>
      </c>
      <c r="B65" t="s">
        <v>57</v>
      </c>
      <c r="C65" t="s">
        <v>43</v>
      </c>
      <c r="D65" t="s">
        <v>358</v>
      </c>
      <c r="E65" t="s">
        <v>57</v>
      </c>
      <c r="F65">
        <v>320000</v>
      </c>
      <c r="G65">
        <v>310000</v>
      </c>
      <c r="H65">
        <v>10000</v>
      </c>
      <c r="I65">
        <v>5900</v>
      </c>
      <c r="J65" t="s">
        <v>25</v>
      </c>
      <c r="K65" t="s">
        <v>58</v>
      </c>
      <c r="L65" t="s">
        <v>367</v>
      </c>
      <c r="M65" t="s">
        <v>366</v>
      </c>
      <c r="N65" t="s">
        <v>127</v>
      </c>
      <c r="O65" t="s">
        <v>369</v>
      </c>
      <c r="P65" t="s">
        <v>76</v>
      </c>
      <c r="Q65" t="s">
        <v>78</v>
      </c>
      <c r="R65" t="s">
        <v>46</v>
      </c>
      <c r="S65">
        <v>2021</v>
      </c>
      <c r="T65" t="s">
        <v>360</v>
      </c>
      <c r="U65" t="s">
        <v>361</v>
      </c>
      <c r="W65" t="s">
        <v>10</v>
      </c>
    </row>
    <row r="66" spans="1:23" ht="48" customHeight="1" x14ac:dyDescent="0.2">
      <c r="A66" t="s">
        <v>371</v>
      </c>
      <c r="B66" t="s">
        <v>57</v>
      </c>
      <c r="C66" t="s">
        <v>26</v>
      </c>
      <c r="D66" t="s">
        <v>358</v>
      </c>
      <c r="E66" t="s">
        <v>25</v>
      </c>
      <c r="F66">
        <v>1000000</v>
      </c>
      <c r="G66">
        <v>990000</v>
      </c>
      <c r="H66">
        <v>10000</v>
      </c>
      <c r="I66">
        <v>700</v>
      </c>
      <c r="J66" t="s">
        <v>25</v>
      </c>
      <c r="K66" t="s">
        <v>29</v>
      </c>
      <c r="L66" t="s">
        <v>372</v>
      </c>
      <c r="M66" t="s">
        <v>359</v>
      </c>
      <c r="N66" t="s">
        <v>362</v>
      </c>
      <c r="O66" t="s">
        <v>373</v>
      </c>
      <c r="P66" t="s">
        <v>37</v>
      </c>
      <c r="Q66" t="s">
        <v>41</v>
      </c>
      <c r="R66" t="s">
        <v>46</v>
      </c>
      <c r="S66">
        <v>2021</v>
      </c>
      <c r="T66" t="s">
        <v>360</v>
      </c>
      <c r="U66" t="s">
        <v>361</v>
      </c>
      <c r="W66" t="s">
        <v>10</v>
      </c>
    </row>
    <row r="67" spans="1:23" ht="48" customHeight="1" x14ac:dyDescent="0.2">
      <c r="A67" t="s">
        <v>374</v>
      </c>
      <c r="B67" t="s">
        <v>25</v>
      </c>
      <c r="C67" t="s">
        <v>26</v>
      </c>
      <c r="D67" t="s">
        <v>358</v>
      </c>
      <c r="E67" t="s">
        <v>25</v>
      </c>
      <c r="F67">
        <v>50000</v>
      </c>
      <c r="G67">
        <v>40000</v>
      </c>
      <c r="H67">
        <v>10000</v>
      </c>
      <c r="I67">
        <v>500</v>
      </c>
      <c r="J67" t="s">
        <v>25</v>
      </c>
      <c r="K67" t="s">
        <v>29</v>
      </c>
      <c r="L67" t="s">
        <v>28</v>
      </c>
      <c r="M67" t="s">
        <v>375</v>
      </c>
      <c r="N67" t="s">
        <v>376</v>
      </c>
      <c r="O67" t="s">
        <v>376</v>
      </c>
      <c r="P67" t="s">
        <v>377</v>
      </c>
      <c r="Q67" t="s">
        <v>267</v>
      </c>
      <c r="R67" t="s">
        <v>46</v>
      </c>
      <c r="S67">
        <v>2022</v>
      </c>
      <c r="T67" t="s">
        <v>360</v>
      </c>
      <c r="U67" t="s">
        <v>361</v>
      </c>
      <c r="W67" t="s">
        <v>10</v>
      </c>
    </row>
    <row r="68" spans="1:23" ht="48" customHeight="1" x14ac:dyDescent="0.2">
      <c r="A68" t="s">
        <v>379</v>
      </c>
      <c r="B68" t="s">
        <v>25</v>
      </c>
      <c r="C68" t="s">
        <v>26</v>
      </c>
      <c r="D68" t="s">
        <v>358</v>
      </c>
      <c r="E68" t="s">
        <v>25</v>
      </c>
      <c r="F68">
        <v>50000</v>
      </c>
      <c r="G68">
        <v>40000</v>
      </c>
      <c r="H68">
        <v>10000</v>
      </c>
      <c r="I68">
        <v>10000</v>
      </c>
      <c r="J68" t="s">
        <v>25</v>
      </c>
      <c r="K68" t="s">
        <v>29</v>
      </c>
      <c r="L68" t="s">
        <v>28</v>
      </c>
      <c r="M68" t="s">
        <v>375</v>
      </c>
      <c r="N68" t="s">
        <v>376</v>
      </c>
      <c r="O68" t="s">
        <v>376</v>
      </c>
      <c r="P68" t="s">
        <v>377</v>
      </c>
      <c r="Q68" t="s">
        <v>267</v>
      </c>
      <c r="R68" t="s">
        <v>46</v>
      </c>
      <c r="S68">
        <v>2023</v>
      </c>
      <c r="T68" t="s">
        <v>360</v>
      </c>
      <c r="U68" t="s">
        <v>361</v>
      </c>
      <c r="W68" t="s">
        <v>10</v>
      </c>
    </row>
    <row r="69" spans="1:23" ht="48" customHeight="1" x14ac:dyDescent="0.2">
      <c r="A69" t="s">
        <v>380</v>
      </c>
      <c r="B69" t="s">
        <v>57</v>
      </c>
      <c r="C69" t="s">
        <v>108</v>
      </c>
      <c r="D69" t="s">
        <v>358</v>
      </c>
      <c r="E69" t="s">
        <v>25</v>
      </c>
      <c r="F69">
        <v>50000</v>
      </c>
      <c r="G69">
        <v>40000</v>
      </c>
      <c r="H69">
        <v>10000</v>
      </c>
      <c r="I69">
        <v>1000</v>
      </c>
      <c r="J69" t="s">
        <v>25</v>
      </c>
      <c r="K69" t="s">
        <v>58</v>
      </c>
      <c r="L69" t="s">
        <v>28</v>
      </c>
      <c r="M69" t="s">
        <v>381</v>
      </c>
      <c r="N69" t="s">
        <v>127</v>
      </c>
      <c r="O69" t="s">
        <v>369</v>
      </c>
      <c r="P69" t="s">
        <v>76</v>
      </c>
      <c r="Q69" t="s">
        <v>78</v>
      </c>
      <c r="R69" t="s">
        <v>46</v>
      </c>
      <c r="S69">
        <v>2021</v>
      </c>
      <c r="T69" t="s">
        <v>360</v>
      </c>
      <c r="U69" t="s">
        <v>361</v>
      </c>
      <c r="V69" s="4" t="s">
        <v>539</v>
      </c>
      <c r="W69" s="4" t="s">
        <v>538</v>
      </c>
    </row>
    <row r="70" spans="1:23" ht="48" customHeight="1" x14ac:dyDescent="0.2">
      <c r="A70" t="s">
        <v>384</v>
      </c>
      <c r="B70" t="s">
        <v>57</v>
      </c>
      <c r="C70" t="s">
        <v>43</v>
      </c>
      <c r="D70" t="s">
        <v>231</v>
      </c>
      <c r="E70" t="s">
        <v>28</v>
      </c>
      <c r="F70">
        <v>5997</v>
      </c>
      <c r="I70">
        <v>5500</v>
      </c>
      <c r="J70" t="s">
        <v>57</v>
      </c>
      <c r="K70" t="s">
        <v>385</v>
      </c>
      <c r="L70" t="s">
        <v>387</v>
      </c>
      <c r="M70" t="s">
        <v>386</v>
      </c>
      <c r="N70" t="s">
        <v>103</v>
      </c>
      <c r="O70" t="s">
        <v>392</v>
      </c>
      <c r="P70" t="s">
        <v>76</v>
      </c>
      <c r="Q70" t="s">
        <v>78</v>
      </c>
      <c r="R70" t="s">
        <v>196</v>
      </c>
      <c r="S70">
        <v>2016</v>
      </c>
      <c r="T70" t="s">
        <v>388</v>
      </c>
      <c r="U70" t="s">
        <v>389</v>
      </c>
      <c r="V70" t="s">
        <v>390</v>
      </c>
      <c r="W70" t="s">
        <v>540</v>
      </c>
    </row>
    <row r="71" spans="1:23" ht="48" customHeight="1" x14ac:dyDescent="0.2">
      <c r="A71" t="s">
        <v>394</v>
      </c>
      <c r="B71" t="s">
        <v>57</v>
      </c>
      <c r="C71" t="s">
        <v>26</v>
      </c>
      <c r="D71" t="s">
        <v>395</v>
      </c>
      <c r="E71" t="s">
        <v>25</v>
      </c>
      <c r="F71">
        <v>73718</v>
      </c>
      <c r="G71">
        <v>57334</v>
      </c>
      <c r="H71">
        <v>16384</v>
      </c>
      <c r="I71">
        <v>1600000</v>
      </c>
      <c r="J71" t="s">
        <v>25</v>
      </c>
      <c r="K71" t="s">
        <v>396</v>
      </c>
      <c r="L71" t="s">
        <v>398</v>
      </c>
      <c r="M71" t="s">
        <v>397</v>
      </c>
      <c r="N71" t="s">
        <v>74</v>
      </c>
      <c r="O71" t="s">
        <v>403</v>
      </c>
      <c r="P71" t="s">
        <v>76</v>
      </c>
      <c r="Q71" t="s">
        <v>78</v>
      </c>
      <c r="R71" t="s">
        <v>110</v>
      </c>
      <c r="S71">
        <v>2024</v>
      </c>
      <c r="T71" t="s">
        <v>399</v>
      </c>
      <c r="U71" t="s">
        <v>400</v>
      </c>
      <c r="V71" s="8" t="s">
        <v>401</v>
      </c>
      <c r="W71" s="8" t="s">
        <v>541</v>
      </c>
    </row>
    <row r="72" spans="1:23" ht="48" customHeight="1" x14ac:dyDescent="0.2">
      <c r="A72" t="s">
        <v>405</v>
      </c>
      <c r="B72" t="s">
        <v>57</v>
      </c>
      <c r="C72" t="s">
        <v>26</v>
      </c>
      <c r="D72" t="s">
        <v>395</v>
      </c>
      <c r="E72" t="s">
        <v>25</v>
      </c>
      <c r="F72">
        <v>210938</v>
      </c>
      <c r="G72">
        <v>194554</v>
      </c>
      <c r="H72">
        <v>16384</v>
      </c>
      <c r="I72">
        <v>5000000</v>
      </c>
      <c r="J72" t="s">
        <v>25</v>
      </c>
      <c r="K72" t="s">
        <v>396</v>
      </c>
      <c r="L72" t="s">
        <v>406</v>
      </c>
      <c r="M72" t="s">
        <v>397</v>
      </c>
      <c r="N72" t="s">
        <v>74</v>
      </c>
      <c r="O72" t="s">
        <v>403</v>
      </c>
      <c r="P72" t="s">
        <v>76</v>
      </c>
      <c r="Q72" t="s">
        <v>78</v>
      </c>
      <c r="R72" t="s">
        <v>526</v>
      </c>
      <c r="S72">
        <v>2024</v>
      </c>
      <c r="T72" t="s">
        <v>399</v>
      </c>
      <c r="U72" t="s">
        <v>407</v>
      </c>
      <c r="V72" s="8"/>
      <c r="W72" s="8"/>
    </row>
    <row r="73" spans="1:23" ht="48" customHeight="1" x14ac:dyDescent="0.2">
      <c r="A73" t="s">
        <v>408</v>
      </c>
      <c r="B73" t="s">
        <v>57</v>
      </c>
      <c r="C73" t="s">
        <v>26</v>
      </c>
      <c r="D73" t="s">
        <v>395</v>
      </c>
      <c r="E73" t="s">
        <v>25</v>
      </c>
      <c r="F73">
        <f>G64+H64</f>
        <v>50000</v>
      </c>
      <c r="G73">
        <v>122880</v>
      </c>
      <c r="H73">
        <v>16384</v>
      </c>
      <c r="I73">
        <v>10000000</v>
      </c>
      <c r="J73" t="s">
        <v>25</v>
      </c>
      <c r="K73" t="s">
        <v>396</v>
      </c>
      <c r="L73" t="s">
        <v>409</v>
      </c>
      <c r="M73" t="s">
        <v>397</v>
      </c>
      <c r="N73" t="s">
        <v>74</v>
      </c>
      <c r="O73" t="s">
        <v>403</v>
      </c>
      <c r="P73" t="s">
        <v>76</v>
      </c>
      <c r="Q73" t="s">
        <v>78</v>
      </c>
      <c r="R73" t="s">
        <v>527</v>
      </c>
      <c r="S73">
        <v>2024</v>
      </c>
      <c r="T73" t="s">
        <v>399</v>
      </c>
      <c r="U73" t="s">
        <v>410</v>
      </c>
      <c r="V73" s="8"/>
      <c r="W73" s="8"/>
    </row>
    <row r="74" spans="1:23" ht="48" customHeight="1" x14ac:dyDescent="0.2">
      <c r="A74" t="s">
        <v>411</v>
      </c>
      <c r="B74" t="s">
        <v>57</v>
      </c>
      <c r="C74" t="s">
        <v>26</v>
      </c>
      <c r="D74" t="s">
        <v>395</v>
      </c>
      <c r="E74" t="s">
        <v>25</v>
      </c>
      <c r="F74">
        <f>G65+H65</f>
        <v>320000</v>
      </c>
      <c r="G74">
        <v>122880</v>
      </c>
      <c r="H74">
        <v>16384</v>
      </c>
      <c r="I74">
        <v>17500000</v>
      </c>
      <c r="J74" t="s">
        <v>25</v>
      </c>
      <c r="K74" t="s">
        <v>396</v>
      </c>
      <c r="L74" t="s">
        <v>412</v>
      </c>
      <c r="M74" t="s">
        <v>397</v>
      </c>
      <c r="N74" t="s">
        <v>74</v>
      </c>
      <c r="O74" t="s">
        <v>403</v>
      </c>
      <c r="P74" t="s">
        <v>76</v>
      </c>
      <c r="Q74" t="s">
        <v>78</v>
      </c>
      <c r="R74" t="s">
        <v>528</v>
      </c>
      <c r="S74">
        <v>2024</v>
      </c>
      <c r="T74" t="s">
        <v>399</v>
      </c>
      <c r="U74" t="s">
        <v>413</v>
      </c>
      <c r="V74" s="8"/>
      <c r="W74" s="8"/>
    </row>
    <row r="75" spans="1:23" ht="48" customHeight="1" x14ac:dyDescent="0.2">
      <c r="A75" t="s">
        <v>414</v>
      </c>
      <c r="B75" t="s">
        <v>25</v>
      </c>
      <c r="C75" t="s">
        <v>108</v>
      </c>
      <c r="D75" t="s">
        <v>44</v>
      </c>
      <c r="E75" t="s">
        <v>25</v>
      </c>
      <c r="F75">
        <v>33554432</v>
      </c>
      <c r="G75">
        <v>16777216</v>
      </c>
      <c r="H75">
        <v>16777216</v>
      </c>
      <c r="I75">
        <v>4450</v>
      </c>
      <c r="J75" t="s">
        <v>57</v>
      </c>
      <c r="K75" t="s">
        <v>415</v>
      </c>
      <c r="L75" t="s">
        <v>367</v>
      </c>
      <c r="M75" t="s">
        <v>416</v>
      </c>
      <c r="N75" t="s">
        <v>421</v>
      </c>
      <c r="O75" t="s">
        <v>422</v>
      </c>
      <c r="P75" t="s">
        <v>37</v>
      </c>
      <c r="Q75" t="s">
        <v>41</v>
      </c>
      <c r="R75" t="s">
        <v>46</v>
      </c>
      <c r="S75">
        <v>2023</v>
      </c>
      <c r="T75" t="s">
        <v>417</v>
      </c>
      <c r="U75" t="s">
        <v>418</v>
      </c>
      <c r="V75" t="s">
        <v>419</v>
      </c>
      <c r="W75" t="s">
        <v>10</v>
      </c>
    </row>
    <row r="76" spans="1:23" ht="48" customHeight="1" x14ac:dyDescent="0.2">
      <c r="A76" t="s">
        <v>424</v>
      </c>
      <c r="B76" t="s">
        <v>57</v>
      </c>
      <c r="C76" t="s">
        <v>108</v>
      </c>
      <c r="D76" t="s">
        <v>44</v>
      </c>
      <c r="E76" t="s">
        <v>57</v>
      </c>
      <c r="F76">
        <v>33554432</v>
      </c>
      <c r="G76">
        <v>16777216</v>
      </c>
      <c r="H76">
        <v>16777216</v>
      </c>
      <c r="I76">
        <v>4400</v>
      </c>
      <c r="J76" t="s">
        <v>57</v>
      </c>
      <c r="K76" t="s">
        <v>415</v>
      </c>
      <c r="L76" t="s">
        <v>367</v>
      </c>
      <c r="M76" t="s">
        <v>30</v>
      </c>
      <c r="N76" t="s">
        <v>35</v>
      </c>
      <c r="O76" t="s">
        <v>426</v>
      </c>
      <c r="P76" t="s">
        <v>37</v>
      </c>
      <c r="Q76" t="s">
        <v>41</v>
      </c>
      <c r="R76" t="s">
        <v>46</v>
      </c>
      <c r="S76">
        <v>2023</v>
      </c>
      <c r="T76" t="s">
        <v>417</v>
      </c>
      <c r="U76" t="s">
        <v>418</v>
      </c>
      <c r="W76" t="s">
        <v>10</v>
      </c>
    </row>
    <row r="77" spans="1:23" ht="48" customHeight="1" x14ac:dyDescent="0.2">
      <c r="A77" t="s">
        <v>428</v>
      </c>
      <c r="B77" t="s">
        <v>25</v>
      </c>
      <c r="C77" t="s">
        <v>429</v>
      </c>
      <c r="D77" t="s">
        <v>430</v>
      </c>
      <c r="E77" t="s">
        <v>524</v>
      </c>
      <c r="F77" t="s">
        <v>524</v>
      </c>
      <c r="G77" t="s">
        <v>524</v>
      </c>
      <c r="H77" t="s">
        <v>524</v>
      </c>
      <c r="I77" t="s">
        <v>524</v>
      </c>
      <c r="J77" t="s">
        <v>524</v>
      </c>
      <c r="K77" t="s">
        <v>524</v>
      </c>
      <c r="L77" t="s">
        <v>524</v>
      </c>
      <c r="M77" t="s">
        <v>431</v>
      </c>
      <c r="N77" t="s">
        <v>434</v>
      </c>
      <c r="O77" t="s">
        <v>253</v>
      </c>
      <c r="P77" t="s">
        <v>76</v>
      </c>
      <c r="Q77" t="s">
        <v>78</v>
      </c>
      <c r="R77" t="s">
        <v>99</v>
      </c>
      <c r="S77" t="s">
        <v>524</v>
      </c>
      <c r="T77" t="s">
        <v>432</v>
      </c>
      <c r="V77" s="9" t="s">
        <v>464</v>
      </c>
      <c r="W77" t="s">
        <v>524</v>
      </c>
    </row>
    <row r="78" spans="1:23" ht="48" customHeight="1" x14ac:dyDescent="0.2">
      <c r="A78" t="s">
        <v>436</v>
      </c>
      <c r="B78" t="s">
        <v>57</v>
      </c>
      <c r="C78" t="s">
        <v>26</v>
      </c>
      <c r="D78" t="s">
        <v>44</v>
      </c>
      <c r="E78" t="s">
        <v>28</v>
      </c>
      <c r="F78" t="s">
        <v>524</v>
      </c>
      <c r="G78" t="s">
        <v>524</v>
      </c>
      <c r="H78" t="s">
        <v>524</v>
      </c>
      <c r="I78" t="s">
        <v>524</v>
      </c>
      <c r="J78" t="s">
        <v>524</v>
      </c>
      <c r="K78" t="s">
        <v>524</v>
      </c>
      <c r="L78" t="s">
        <v>524</v>
      </c>
      <c r="M78" t="s">
        <v>437</v>
      </c>
      <c r="N78" t="s">
        <v>440</v>
      </c>
      <c r="O78" t="s">
        <v>441</v>
      </c>
      <c r="P78" t="s">
        <v>442</v>
      </c>
      <c r="Q78" t="s">
        <v>267</v>
      </c>
      <c r="R78" t="s">
        <v>99</v>
      </c>
      <c r="S78" t="s">
        <v>524</v>
      </c>
      <c r="T78" t="s">
        <v>438</v>
      </c>
      <c r="V78" s="9"/>
      <c r="W78" t="s">
        <v>524</v>
      </c>
    </row>
    <row r="79" spans="1:23" ht="48" customHeight="1" x14ac:dyDescent="0.2">
      <c r="A79" t="s">
        <v>445</v>
      </c>
      <c r="B79" t="s">
        <v>57</v>
      </c>
      <c r="C79" t="s">
        <v>446</v>
      </c>
      <c r="D79" t="s">
        <v>44</v>
      </c>
      <c r="E79" t="s">
        <v>28</v>
      </c>
      <c r="F79" t="s">
        <v>524</v>
      </c>
      <c r="G79" t="s">
        <v>524</v>
      </c>
      <c r="H79" t="s">
        <v>524</v>
      </c>
      <c r="I79" t="s">
        <v>524</v>
      </c>
      <c r="J79" t="s">
        <v>524</v>
      </c>
      <c r="K79" t="s">
        <v>524</v>
      </c>
      <c r="L79" t="s">
        <v>524</v>
      </c>
      <c r="M79" t="s">
        <v>447</v>
      </c>
      <c r="N79" t="s">
        <v>450</v>
      </c>
      <c r="O79" t="s">
        <v>451</v>
      </c>
      <c r="P79" t="s">
        <v>442</v>
      </c>
      <c r="Q79" t="s">
        <v>267</v>
      </c>
      <c r="R79" t="s">
        <v>524</v>
      </c>
      <c r="S79" t="s">
        <v>524</v>
      </c>
      <c r="T79" t="s">
        <v>448</v>
      </c>
      <c r="V79" s="9"/>
      <c r="W79" t="s">
        <v>524</v>
      </c>
    </row>
    <row r="80" spans="1:23" ht="48" customHeight="1" x14ac:dyDescent="0.2">
      <c r="A80" t="s">
        <v>453</v>
      </c>
      <c r="B80" t="s">
        <v>25</v>
      </c>
      <c r="C80" t="s">
        <v>108</v>
      </c>
      <c r="D80" t="s">
        <v>454</v>
      </c>
      <c r="E80" t="s">
        <v>28</v>
      </c>
      <c r="F80">
        <v>500000</v>
      </c>
      <c r="G80" t="s">
        <v>524</v>
      </c>
      <c r="H80" t="s">
        <v>524</v>
      </c>
      <c r="I80" t="s">
        <v>524</v>
      </c>
      <c r="J80" t="s">
        <v>524</v>
      </c>
      <c r="K80" t="s">
        <v>524</v>
      </c>
      <c r="L80" t="s">
        <v>524</v>
      </c>
      <c r="M80" t="s">
        <v>45</v>
      </c>
      <c r="N80" t="s">
        <v>49</v>
      </c>
      <c r="O80" t="s">
        <v>50</v>
      </c>
      <c r="P80" t="s">
        <v>37</v>
      </c>
      <c r="Q80" t="s">
        <v>41</v>
      </c>
      <c r="R80" t="s">
        <v>524</v>
      </c>
      <c r="S80" t="s">
        <v>524</v>
      </c>
      <c r="T80" t="s">
        <v>455</v>
      </c>
      <c r="V80" s="9"/>
      <c r="W80" t="s">
        <v>524</v>
      </c>
    </row>
    <row r="81" spans="1:23" ht="48" customHeight="1" x14ac:dyDescent="0.2">
      <c r="A81" t="s">
        <v>458</v>
      </c>
      <c r="B81" t="s">
        <v>57</v>
      </c>
      <c r="C81" t="s">
        <v>26</v>
      </c>
      <c r="D81" t="s">
        <v>44</v>
      </c>
      <c r="E81" t="s">
        <v>28</v>
      </c>
      <c r="F81">
        <v>5600000</v>
      </c>
      <c r="G81" t="s">
        <v>524</v>
      </c>
      <c r="H81" t="s">
        <v>524</v>
      </c>
      <c r="I81" t="s">
        <v>524</v>
      </c>
      <c r="J81" t="s">
        <v>524</v>
      </c>
      <c r="K81" t="s">
        <v>29</v>
      </c>
      <c r="L81" t="s">
        <v>459</v>
      </c>
      <c r="M81" t="s">
        <v>45</v>
      </c>
      <c r="N81" t="s">
        <v>49</v>
      </c>
      <c r="O81" t="s">
        <v>50</v>
      </c>
      <c r="P81" t="s">
        <v>37</v>
      </c>
      <c r="Q81" t="s">
        <v>41</v>
      </c>
      <c r="R81" t="s">
        <v>524</v>
      </c>
      <c r="S81">
        <v>2014</v>
      </c>
      <c r="T81" t="s">
        <v>460</v>
      </c>
      <c r="V81" s="9"/>
      <c r="W81" t="s">
        <v>524</v>
      </c>
    </row>
    <row r="82" spans="1:23" ht="48" customHeight="1" x14ac:dyDescent="0.2">
      <c r="A82" t="s">
        <v>462</v>
      </c>
      <c r="B82" t="s">
        <v>57</v>
      </c>
      <c r="C82" t="s">
        <v>26</v>
      </c>
      <c r="D82" t="s">
        <v>44</v>
      </c>
      <c r="E82" t="s">
        <v>28</v>
      </c>
      <c r="F82">
        <v>100000</v>
      </c>
      <c r="G82" t="s">
        <v>524</v>
      </c>
      <c r="H82" t="s">
        <v>524</v>
      </c>
      <c r="I82" t="s">
        <v>524</v>
      </c>
      <c r="J82" t="s">
        <v>524</v>
      </c>
      <c r="K82" t="s">
        <v>524</v>
      </c>
      <c r="L82" t="s">
        <v>28</v>
      </c>
      <c r="M82" t="s">
        <v>45</v>
      </c>
      <c r="N82" t="s">
        <v>49</v>
      </c>
      <c r="O82" t="s">
        <v>50</v>
      </c>
      <c r="P82" t="s">
        <v>37</v>
      </c>
      <c r="Q82" t="s">
        <v>41</v>
      </c>
      <c r="R82" t="s">
        <v>524</v>
      </c>
      <c r="S82" t="s">
        <v>524</v>
      </c>
      <c r="T82" t="s">
        <v>463</v>
      </c>
      <c r="V82" s="9"/>
      <c r="W82" t="s">
        <v>524</v>
      </c>
    </row>
    <row r="83" spans="1:23" ht="48" customHeight="1" x14ac:dyDescent="0.2">
      <c r="A83" t="s">
        <v>466</v>
      </c>
      <c r="B83" t="s">
        <v>57</v>
      </c>
      <c r="C83" t="s">
        <v>108</v>
      </c>
      <c r="D83" t="s">
        <v>467</v>
      </c>
      <c r="E83" t="s">
        <v>57</v>
      </c>
      <c r="F83">
        <v>6400</v>
      </c>
      <c r="G83">
        <v>2150</v>
      </c>
      <c r="H83">
        <v>1280</v>
      </c>
      <c r="I83">
        <v>1000</v>
      </c>
      <c r="J83" t="s">
        <v>57</v>
      </c>
      <c r="K83" t="s">
        <v>468</v>
      </c>
      <c r="L83" t="s">
        <v>28</v>
      </c>
      <c r="M83" t="s">
        <v>68</v>
      </c>
      <c r="N83" t="s">
        <v>74</v>
      </c>
      <c r="O83" t="s">
        <v>75</v>
      </c>
      <c r="P83" t="s">
        <v>76</v>
      </c>
      <c r="Q83" t="s">
        <v>78</v>
      </c>
      <c r="R83" t="s">
        <v>110</v>
      </c>
      <c r="S83">
        <v>2019</v>
      </c>
      <c r="T83" t="s">
        <v>469</v>
      </c>
      <c r="U83" t="s">
        <v>470</v>
      </c>
      <c r="V83" t="s">
        <v>471</v>
      </c>
      <c r="W83" t="s">
        <v>542</v>
      </c>
    </row>
    <row r="84" spans="1:23" ht="48" customHeight="1" x14ac:dyDescent="0.2">
      <c r="A84" t="s">
        <v>474</v>
      </c>
      <c r="B84" t="s">
        <v>25</v>
      </c>
      <c r="C84" t="s">
        <v>26</v>
      </c>
      <c r="D84" t="s">
        <v>44</v>
      </c>
      <c r="E84" t="s">
        <v>28</v>
      </c>
      <c r="F84">
        <v>160000</v>
      </c>
      <c r="I84">
        <v>3000</v>
      </c>
      <c r="J84" t="s">
        <v>57</v>
      </c>
      <c r="K84" t="s">
        <v>119</v>
      </c>
      <c r="L84" t="s">
        <v>28</v>
      </c>
      <c r="M84" t="s">
        <v>475</v>
      </c>
      <c r="N84" t="s">
        <v>103</v>
      </c>
      <c r="O84" t="s">
        <v>480</v>
      </c>
      <c r="P84" t="s">
        <v>90</v>
      </c>
      <c r="Q84" t="s">
        <v>78</v>
      </c>
      <c r="R84" t="s">
        <v>334</v>
      </c>
      <c r="S84">
        <v>2019</v>
      </c>
      <c r="T84" t="s">
        <v>476</v>
      </c>
      <c r="U84" t="s">
        <v>477</v>
      </c>
      <c r="V84" t="s">
        <v>478</v>
      </c>
      <c r="W84" t="s">
        <v>10</v>
      </c>
    </row>
    <row r="85" spans="1:23" ht="48" customHeight="1" x14ac:dyDescent="0.2">
      <c r="A85" t="s">
        <v>484</v>
      </c>
      <c r="B85" t="s">
        <v>28</v>
      </c>
      <c r="C85" t="s">
        <v>26</v>
      </c>
      <c r="D85" t="s">
        <v>484</v>
      </c>
      <c r="E85" t="s">
        <v>25</v>
      </c>
      <c r="F85">
        <v>250000</v>
      </c>
      <c r="G85">
        <v>200000</v>
      </c>
      <c r="H85">
        <v>50000</v>
      </c>
      <c r="I85">
        <v>5000</v>
      </c>
      <c r="J85" t="s">
        <v>25</v>
      </c>
      <c r="K85" t="s">
        <v>134</v>
      </c>
      <c r="L85" t="s">
        <v>28</v>
      </c>
      <c r="M85" t="s">
        <v>30</v>
      </c>
      <c r="N85" t="s">
        <v>35</v>
      </c>
      <c r="O85" t="s">
        <v>36</v>
      </c>
      <c r="P85" t="s">
        <v>37</v>
      </c>
      <c r="Q85" t="s">
        <v>41</v>
      </c>
      <c r="R85" t="s">
        <v>524</v>
      </c>
      <c r="S85">
        <v>2024</v>
      </c>
      <c r="T85" t="s">
        <v>524</v>
      </c>
      <c r="U85" t="s">
        <v>485</v>
      </c>
      <c r="W85" t="s">
        <v>524</v>
      </c>
    </row>
  </sheetData>
  <mergeCells count="10">
    <mergeCell ref="W14:W18"/>
    <mergeCell ref="W54:W62"/>
    <mergeCell ref="V71:V74"/>
    <mergeCell ref="W71:W74"/>
    <mergeCell ref="V77:V82"/>
    <mergeCell ref="V38:V39"/>
    <mergeCell ref="W38:W39"/>
    <mergeCell ref="V23:V24"/>
    <mergeCell ref="V25:V26"/>
    <mergeCell ref="V27:V31"/>
  </mergeCells>
  <phoneticPr fontId="3" type="noConversion"/>
  <hyperlinks>
    <hyperlink ref="T38" r:id="rId1" xr:uid="{D772F70B-FF72-D04C-8199-D0035D1C0077}"/>
    <hyperlink ref="T5" r:id="rId2" xr:uid="{81B92F31-9C68-6944-9478-90099F010D6A}"/>
    <hyperlink ref="V41" r:id="rId3" xr:uid="{57E2435B-EC39-F646-89A4-6EFAC205D666}"/>
    <hyperlink ref="U38" r:id="rId4" xr:uid="{659D6283-D9E7-2A4A-8538-087CC04B30A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8"/>
  <sheetViews>
    <sheetView workbookViewId="0"/>
  </sheetViews>
  <sheetFormatPr baseColWidth="10" defaultRowHeight="16" x14ac:dyDescent="0.2"/>
  <sheetData>
    <row r="1" spans="1:1" x14ac:dyDescent="0.2">
      <c r="A1" t="s">
        <v>488</v>
      </c>
    </row>
    <row r="2" spans="1:1" x14ac:dyDescent="0.2">
      <c r="A2" t="s">
        <v>489</v>
      </c>
    </row>
    <row r="3" spans="1:1" x14ac:dyDescent="0.2">
      <c r="A3" t="s">
        <v>490</v>
      </c>
    </row>
    <row r="4" spans="1:1" x14ac:dyDescent="0.2">
      <c r="A4" t="s">
        <v>491</v>
      </c>
    </row>
    <row r="5" spans="1:1" x14ac:dyDescent="0.2">
      <c r="A5" t="s">
        <v>492</v>
      </c>
    </row>
    <row r="6" spans="1:1" x14ac:dyDescent="0.2">
      <c r="A6" t="s">
        <v>493</v>
      </c>
    </row>
    <row r="7" spans="1:1" x14ac:dyDescent="0.2">
      <c r="A7" t="s">
        <v>494</v>
      </c>
    </row>
    <row r="8" spans="1:1" x14ac:dyDescent="0.2">
      <c r="A8" t="s">
        <v>495</v>
      </c>
    </row>
    <row r="11" spans="1:1" x14ac:dyDescent="0.2">
      <c r="A11" t="s">
        <v>488</v>
      </c>
    </row>
    <row r="12" spans="1:1" x14ac:dyDescent="0.2">
      <c r="A12" t="s">
        <v>489</v>
      </c>
    </row>
    <row r="13" spans="1:1" x14ac:dyDescent="0.2">
      <c r="A13" t="s">
        <v>496</v>
      </c>
    </row>
    <row r="14" spans="1:1" x14ac:dyDescent="0.2">
      <c r="A14" t="s">
        <v>497</v>
      </c>
    </row>
    <row r="15" spans="1:1" x14ac:dyDescent="0.2">
      <c r="A15" t="s">
        <v>498</v>
      </c>
    </row>
    <row r="16" spans="1:1" x14ac:dyDescent="0.2">
      <c r="A16" t="s">
        <v>499</v>
      </c>
    </row>
    <row r="17" spans="1:1" x14ac:dyDescent="0.2">
      <c r="A17" t="s">
        <v>500</v>
      </c>
    </row>
    <row r="18" spans="1:1" x14ac:dyDescent="0.2">
      <c r="A18" t="s">
        <v>501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85"/>
  <sheetViews>
    <sheetView topLeftCell="F1" workbookViewId="0"/>
  </sheetViews>
  <sheetFormatPr baseColWidth="10" defaultColWidth="8.83203125" defaultRowHeight="16" x14ac:dyDescent="0.2"/>
  <cols>
    <col min="1" max="1" width="10" customWidth="1"/>
    <col min="2" max="3" width="30" customWidth="1"/>
    <col min="4" max="4" width="40" customWidth="1"/>
    <col min="5" max="5" width="25" customWidth="1"/>
    <col min="6" max="6" width="34" customWidth="1"/>
    <col min="7" max="7" width="22" customWidth="1"/>
    <col min="8" max="8" width="21" customWidth="1"/>
    <col min="9" max="9" width="62" customWidth="1"/>
    <col min="10" max="10" width="50" customWidth="1"/>
  </cols>
  <sheetData>
    <row r="1" spans="1:10" ht="34" customHeight="1" x14ac:dyDescent="0.2">
      <c r="A1" s="1" t="s">
        <v>502</v>
      </c>
      <c r="B1" s="1" t="s">
        <v>0</v>
      </c>
      <c r="C1" s="1" t="s">
        <v>503</v>
      </c>
      <c r="D1" s="1" t="s">
        <v>504</v>
      </c>
      <c r="E1" s="1" t="s">
        <v>19</v>
      </c>
      <c r="F1" s="1" t="s">
        <v>20</v>
      </c>
      <c r="G1" s="1" t="s">
        <v>21</v>
      </c>
      <c r="H1" s="1" t="s">
        <v>505</v>
      </c>
      <c r="I1" s="1" t="s">
        <v>506</v>
      </c>
      <c r="J1" s="1" t="s">
        <v>507</v>
      </c>
    </row>
    <row r="2" spans="1:10" ht="55" customHeight="1" x14ac:dyDescent="0.2">
      <c r="A2" s="2">
        <v>2</v>
      </c>
      <c r="B2" s="2" t="s">
        <v>256</v>
      </c>
      <c r="C2" s="2" t="s">
        <v>262</v>
      </c>
      <c r="D2" s="2" t="s">
        <v>258</v>
      </c>
      <c r="E2" s="2" t="s">
        <v>263</v>
      </c>
      <c r="F2" s="2" t="s">
        <v>264</v>
      </c>
      <c r="G2" s="2" t="s">
        <v>265</v>
      </c>
      <c r="H2" s="2" t="s">
        <v>174</v>
      </c>
      <c r="I2" s="2" t="s">
        <v>266</v>
      </c>
      <c r="J2" s="2" t="s">
        <v>260</v>
      </c>
    </row>
    <row r="3" spans="1:10" ht="55" customHeight="1" x14ac:dyDescent="0.2">
      <c r="A3" s="2">
        <v>3</v>
      </c>
      <c r="B3" s="2" t="s">
        <v>268</v>
      </c>
      <c r="C3" s="2" t="s">
        <v>270</v>
      </c>
      <c r="D3" s="2" t="s">
        <v>269</v>
      </c>
      <c r="E3" s="2" t="s">
        <v>263</v>
      </c>
      <c r="F3" s="2" t="s">
        <v>271</v>
      </c>
      <c r="G3" s="2" t="s">
        <v>265</v>
      </c>
      <c r="H3" s="2" t="s">
        <v>174</v>
      </c>
      <c r="I3" s="2" t="s">
        <v>272</v>
      </c>
      <c r="J3" s="2" t="s">
        <v>260</v>
      </c>
    </row>
    <row r="4" spans="1:10" ht="55" customHeight="1" x14ac:dyDescent="0.2">
      <c r="A4" s="2">
        <v>4</v>
      </c>
      <c r="B4" s="2" t="s">
        <v>273</v>
      </c>
      <c r="C4" s="2" t="s">
        <v>274</v>
      </c>
      <c r="D4" s="2" t="s">
        <v>269</v>
      </c>
      <c r="E4" s="2" t="s">
        <v>275</v>
      </c>
      <c r="F4" s="2" t="s">
        <v>276</v>
      </c>
      <c r="G4" s="2" t="s">
        <v>37</v>
      </c>
      <c r="H4" s="2" t="s">
        <v>51</v>
      </c>
      <c r="I4" s="2" t="s">
        <v>277</v>
      </c>
      <c r="J4" s="2" t="s">
        <v>278</v>
      </c>
    </row>
    <row r="5" spans="1:10" ht="55" customHeight="1" x14ac:dyDescent="0.2">
      <c r="A5" s="2">
        <v>5</v>
      </c>
      <c r="B5" s="2" t="s">
        <v>279</v>
      </c>
      <c r="C5" s="2" t="s">
        <v>283</v>
      </c>
      <c r="D5" s="2" t="s">
        <v>45</v>
      </c>
      <c r="E5" s="2" t="s">
        <v>49</v>
      </c>
      <c r="F5" s="2" t="s">
        <v>50</v>
      </c>
      <c r="G5" s="2" t="s">
        <v>37</v>
      </c>
      <c r="H5" s="2" t="s">
        <v>51</v>
      </c>
      <c r="I5" s="2" t="s">
        <v>284</v>
      </c>
      <c r="J5" s="2" t="s">
        <v>278</v>
      </c>
    </row>
    <row r="6" spans="1:10" ht="55" customHeight="1" x14ac:dyDescent="0.2">
      <c r="A6" s="2">
        <v>6</v>
      </c>
      <c r="B6" s="2" t="s">
        <v>285</v>
      </c>
      <c r="C6" s="2" t="s">
        <v>291</v>
      </c>
      <c r="D6" s="2" t="s">
        <v>287</v>
      </c>
      <c r="E6" s="2" t="s">
        <v>103</v>
      </c>
      <c r="F6" s="2" t="s">
        <v>292</v>
      </c>
      <c r="G6" s="2" t="s">
        <v>76</v>
      </c>
      <c r="H6" s="2" t="s">
        <v>105</v>
      </c>
      <c r="I6" s="2" t="s">
        <v>293</v>
      </c>
      <c r="J6" s="2" t="s">
        <v>290</v>
      </c>
    </row>
    <row r="7" spans="1:10" ht="55" customHeight="1" x14ac:dyDescent="0.2">
      <c r="A7" s="2">
        <v>7</v>
      </c>
      <c r="B7" s="2" t="s">
        <v>294</v>
      </c>
      <c r="C7" s="2" t="s">
        <v>291</v>
      </c>
      <c r="D7" s="2" t="s">
        <v>287</v>
      </c>
      <c r="E7" s="2" t="s">
        <v>103</v>
      </c>
      <c r="F7" s="2" t="s">
        <v>292</v>
      </c>
      <c r="G7" s="2" t="s">
        <v>76</v>
      </c>
      <c r="H7" s="2" t="s">
        <v>105</v>
      </c>
      <c r="I7" s="2" t="s">
        <v>293</v>
      </c>
      <c r="J7" s="2" t="s">
        <v>290</v>
      </c>
    </row>
    <row r="8" spans="1:10" ht="55" customHeight="1" x14ac:dyDescent="0.2">
      <c r="A8" s="2">
        <v>8</v>
      </c>
      <c r="B8" s="2" t="s">
        <v>116</v>
      </c>
      <c r="C8" s="2" t="s">
        <v>113</v>
      </c>
      <c r="D8" s="2" t="s">
        <v>109</v>
      </c>
      <c r="E8" s="2" t="s">
        <v>103</v>
      </c>
      <c r="F8" s="2" t="s">
        <v>114</v>
      </c>
      <c r="G8" s="2" t="s">
        <v>76</v>
      </c>
      <c r="H8" s="2" t="s">
        <v>105</v>
      </c>
      <c r="I8" s="2" t="s">
        <v>115</v>
      </c>
      <c r="J8" s="2" t="s">
        <v>111</v>
      </c>
    </row>
    <row r="9" spans="1:10" ht="55" customHeight="1" x14ac:dyDescent="0.2">
      <c r="A9" s="2">
        <v>9</v>
      </c>
      <c r="B9" s="2" t="s">
        <v>118</v>
      </c>
      <c r="C9" s="2" t="s">
        <v>113</v>
      </c>
      <c r="D9" s="2" t="s">
        <v>109</v>
      </c>
      <c r="E9" s="2" t="s">
        <v>103</v>
      </c>
      <c r="F9" s="2" t="s">
        <v>114</v>
      </c>
      <c r="G9" s="2" t="s">
        <v>76</v>
      </c>
      <c r="H9" s="2" t="s">
        <v>105</v>
      </c>
      <c r="I9" s="2" t="s">
        <v>115</v>
      </c>
      <c r="J9" s="2" t="s">
        <v>111</v>
      </c>
    </row>
    <row r="10" spans="1:10" ht="55" customHeight="1" x14ac:dyDescent="0.2">
      <c r="A10" s="2">
        <v>10</v>
      </c>
      <c r="B10" s="2" t="s">
        <v>107</v>
      </c>
      <c r="C10" s="2" t="s">
        <v>113</v>
      </c>
      <c r="D10" s="2" t="s">
        <v>109</v>
      </c>
      <c r="E10" s="2" t="s">
        <v>103</v>
      </c>
      <c r="F10" s="2" t="s">
        <v>114</v>
      </c>
      <c r="G10" s="2" t="s">
        <v>76</v>
      </c>
      <c r="H10" s="2" t="s">
        <v>105</v>
      </c>
      <c r="I10" s="2" t="s">
        <v>115</v>
      </c>
      <c r="J10" s="2" t="s">
        <v>111</v>
      </c>
    </row>
    <row r="11" spans="1:10" ht="55" customHeight="1" x14ac:dyDescent="0.2">
      <c r="A11" s="2">
        <v>11</v>
      </c>
      <c r="B11" s="2" t="s">
        <v>121</v>
      </c>
      <c r="C11" s="2" t="s">
        <v>126</v>
      </c>
      <c r="D11" s="2" t="s">
        <v>122</v>
      </c>
      <c r="E11" s="2" t="s">
        <v>127</v>
      </c>
      <c r="F11" s="2" t="s">
        <v>128</v>
      </c>
      <c r="G11" s="2" t="s">
        <v>76</v>
      </c>
      <c r="H11" s="2" t="s">
        <v>105</v>
      </c>
      <c r="I11" s="2" t="s">
        <v>129</v>
      </c>
      <c r="J11" s="2" t="s">
        <v>130</v>
      </c>
    </row>
    <row r="12" spans="1:10" ht="55" customHeight="1" x14ac:dyDescent="0.2">
      <c r="A12" s="2">
        <v>12</v>
      </c>
      <c r="B12" s="2" t="s">
        <v>131</v>
      </c>
      <c r="C12" s="2" t="s">
        <v>126</v>
      </c>
      <c r="D12" s="2" t="s">
        <v>122</v>
      </c>
      <c r="E12" s="2" t="s">
        <v>127</v>
      </c>
      <c r="F12" s="2" t="s">
        <v>128</v>
      </c>
      <c r="G12" s="2" t="s">
        <v>76</v>
      </c>
      <c r="H12" s="2" t="s">
        <v>105</v>
      </c>
      <c r="I12" s="2" t="s">
        <v>129</v>
      </c>
      <c r="J12" s="2" t="s">
        <v>130</v>
      </c>
    </row>
    <row r="13" spans="1:10" ht="55" customHeight="1" x14ac:dyDescent="0.2">
      <c r="A13" s="2">
        <v>13</v>
      </c>
      <c r="B13" s="2" t="s">
        <v>194</v>
      </c>
      <c r="C13" s="2" t="s">
        <v>189</v>
      </c>
      <c r="D13" s="2" t="s">
        <v>185</v>
      </c>
      <c r="E13" s="2" t="s">
        <v>74</v>
      </c>
      <c r="F13" s="2" t="s">
        <v>190</v>
      </c>
      <c r="G13" s="2" t="s">
        <v>76</v>
      </c>
      <c r="H13" s="2" t="s">
        <v>191</v>
      </c>
      <c r="I13" s="2" t="s">
        <v>192</v>
      </c>
      <c r="J13" s="2" t="s">
        <v>193</v>
      </c>
    </row>
    <row r="14" spans="1:10" ht="55" customHeight="1" x14ac:dyDescent="0.2">
      <c r="A14" s="2">
        <v>14</v>
      </c>
      <c r="B14" s="2" t="s">
        <v>184</v>
      </c>
      <c r="C14" s="2" t="s">
        <v>189</v>
      </c>
      <c r="D14" s="2" t="s">
        <v>185</v>
      </c>
      <c r="E14" s="2" t="s">
        <v>74</v>
      </c>
      <c r="F14" s="2" t="s">
        <v>190</v>
      </c>
      <c r="G14" s="2" t="s">
        <v>76</v>
      </c>
      <c r="H14" s="2" t="s">
        <v>191</v>
      </c>
      <c r="I14" s="2" t="s">
        <v>192</v>
      </c>
      <c r="J14" s="2" t="s">
        <v>193</v>
      </c>
    </row>
    <row r="15" spans="1:10" ht="55" customHeight="1" x14ac:dyDescent="0.2">
      <c r="A15" s="2">
        <v>15</v>
      </c>
      <c r="B15" s="2" t="s">
        <v>197</v>
      </c>
      <c r="C15" s="2" t="s">
        <v>189</v>
      </c>
      <c r="D15" s="2" t="s">
        <v>185</v>
      </c>
      <c r="E15" s="2" t="s">
        <v>74</v>
      </c>
      <c r="F15" s="2" t="s">
        <v>190</v>
      </c>
      <c r="G15" s="2" t="s">
        <v>76</v>
      </c>
      <c r="H15" s="2" t="s">
        <v>191</v>
      </c>
      <c r="I15" s="2" t="s">
        <v>192</v>
      </c>
      <c r="J15" s="2" t="s">
        <v>193</v>
      </c>
    </row>
    <row r="16" spans="1:10" ht="55" customHeight="1" x14ac:dyDescent="0.2">
      <c r="A16" s="2">
        <v>16</v>
      </c>
      <c r="B16" s="2" t="s">
        <v>211</v>
      </c>
      <c r="C16" s="2" t="s">
        <v>208</v>
      </c>
      <c r="D16" s="2" t="s">
        <v>214</v>
      </c>
      <c r="E16" s="2" t="s">
        <v>216</v>
      </c>
      <c r="F16" s="2" t="s">
        <v>217</v>
      </c>
      <c r="G16" s="2" t="s">
        <v>76</v>
      </c>
      <c r="H16" s="2" t="s">
        <v>51</v>
      </c>
      <c r="I16" s="2" t="s">
        <v>218</v>
      </c>
      <c r="J16" s="2" t="s">
        <v>219</v>
      </c>
    </row>
    <row r="17" spans="1:10" ht="55" customHeight="1" x14ac:dyDescent="0.2">
      <c r="A17" s="2">
        <v>17</v>
      </c>
      <c r="B17" s="2" t="s">
        <v>198</v>
      </c>
      <c r="C17" s="2" t="s">
        <v>208</v>
      </c>
      <c r="D17" s="2" t="s">
        <v>30</v>
      </c>
      <c r="E17" s="2" t="s">
        <v>35</v>
      </c>
      <c r="F17" s="2" t="s">
        <v>36</v>
      </c>
      <c r="G17" s="2" t="s">
        <v>37</v>
      </c>
      <c r="H17" s="2" t="s">
        <v>51</v>
      </c>
      <c r="I17" s="2" t="s">
        <v>209</v>
      </c>
      <c r="J17" s="2" t="s">
        <v>210</v>
      </c>
    </row>
    <row r="18" spans="1:10" ht="55" customHeight="1" x14ac:dyDescent="0.2">
      <c r="A18" s="2">
        <v>18</v>
      </c>
      <c r="B18" s="2" t="s">
        <v>96</v>
      </c>
      <c r="C18" s="2" t="s">
        <v>102</v>
      </c>
      <c r="D18" s="2" t="s">
        <v>97</v>
      </c>
      <c r="E18" s="2" t="s">
        <v>103</v>
      </c>
      <c r="F18" s="2" t="s">
        <v>104</v>
      </c>
      <c r="G18" s="2" t="s">
        <v>76</v>
      </c>
      <c r="H18" s="2" t="s">
        <v>105</v>
      </c>
      <c r="I18" s="2" t="s">
        <v>106</v>
      </c>
      <c r="J18" s="2" t="s">
        <v>100</v>
      </c>
    </row>
    <row r="19" spans="1:10" ht="55" customHeight="1" x14ac:dyDescent="0.2">
      <c r="A19" s="2">
        <v>19</v>
      </c>
      <c r="B19" s="2" t="s">
        <v>42</v>
      </c>
      <c r="C19" s="2" t="s">
        <v>48</v>
      </c>
      <c r="D19" s="2" t="s">
        <v>45</v>
      </c>
      <c r="E19" s="2" t="s">
        <v>49</v>
      </c>
      <c r="F19" s="2" t="s">
        <v>50</v>
      </c>
      <c r="G19" s="2" t="s">
        <v>37</v>
      </c>
      <c r="H19" s="2" t="s">
        <v>51</v>
      </c>
      <c r="I19" s="2" t="s">
        <v>52</v>
      </c>
      <c r="J19" s="2" t="s">
        <v>47</v>
      </c>
    </row>
    <row r="20" spans="1:10" ht="55" customHeight="1" x14ac:dyDescent="0.2">
      <c r="A20" s="2">
        <v>20</v>
      </c>
      <c r="B20" s="2" t="s">
        <v>53</v>
      </c>
      <c r="C20" s="2" t="s">
        <v>48</v>
      </c>
      <c r="D20" s="2" t="s">
        <v>45</v>
      </c>
      <c r="E20" s="2" t="s">
        <v>49</v>
      </c>
      <c r="F20" s="2" t="s">
        <v>50</v>
      </c>
      <c r="G20" s="2" t="s">
        <v>37</v>
      </c>
      <c r="H20" s="2" t="s">
        <v>51</v>
      </c>
      <c r="I20" s="2" t="s">
        <v>52</v>
      </c>
      <c r="J20" s="2" t="s">
        <v>47</v>
      </c>
    </row>
    <row r="21" spans="1:10" ht="55" customHeight="1" x14ac:dyDescent="0.2">
      <c r="A21" s="2">
        <v>21</v>
      </c>
      <c r="B21" s="2" t="s">
        <v>62</v>
      </c>
      <c r="C21" s="2" t="s">
        <v>48</v>
      </c>
      <c r="D21" s="2" t="s">
        <v>45</v>
      </c>
      <c r="E21" s="2" t="s">
        <v>49</v>
      </c>
      <c r="F21" s="2" t="s">
        <v>50</v>
      </c>
      <c r="G21" s="2" t="s">
        <v>37</v>
      </c>
      <c r="H21" s="2" t="s">
        <v>51</v>
      </c>
      <c r="I21" s="2" t="s">
        <v>52</v>
      </c>
      <c r="J21" s="2" t="s">
        <v>47</v>
      </c>
    </row>
    <row r="22" spans="1:10" ht="55" customHeight="1" x14ac:dyDescent="0.2">
      <c r="A22" s="2">
        <v>22</v>
      </c>
      <c r="B22" s="2" t="s">
        <v>56</v>
      </c>
      <c r="C22" s="2" t="s">
        <v>48</v>
      </c>
      <c r="D22" s="2" t="s">
        <v>45</v>
      </c>
      <c r="E22" s="2" t="s">
        <v>49</v>
      </c>
      <c r="F22" s="2" t="s">
        <v>50</v>
      </c>
      <c r="G22" s="2" t="s">
        <v>37</v>
      </c>
      <c r="H22" s="2" t="s">
        <v>51</v>
      </c>
      <c r="I22" s="2" t="s">
        <v>52</v>
      </c>
      <c r="J22" s="2" t="s">
        <v>47</v>
      </c>
    </row>
    <row r="23" spans="1:10" ht="55" customHeight="1" x14ac:dyDescent="0.2">
      <c r="A23" s="2">
        <v>23</v>
      </c>
      <c r="B23" s="2" t="s">
        <v>297</v>
      </c>
      <c r="C23" s="2" t="s">
        <v>302</v>
      </c>
      <c r="D23" s="2" t="s">
        <v>298</v>
      </c>
      <c r="E23" s="2" t="s">
        <v>127</v>
      </c>
      <c r="F23" s="2" t="s">
        <v>303</v>
      </c>
      <c r="G23" s="2" t="s">
        <v>76</v>
      </c>
      <c r="H23" s="2" t="s">
        <v>105</v>
      </c>
      <c r="I23" s="2" t="s">
        <v>304</v>
      </c>
      <c r="J23" s="2" t="s">
        <v>300</v>
      </c>
    </row>
    <row r="24" spans="1:10" ht="55" customHeight="1" x14ac:dyDescent="0.2">
      <c r="A24" s="2">
        <v>24</v>
      </c>
      <c r="B24" s="2" t="s">
        <v>305</v>
      </c>
      <c r="C24" s="2" t="s">
        <v>307</v>
      </c>
      <c r="D24" s="2" t="s">
        <v>298</v>
      </c>
      <c r="E24" s="2" t="s">
        <v>127</v>
      </c>
      <c r="F24" s="2" t="s">
        <v>303</v>
      </c>
      <c r="G24" s="2" t="s">
        <v>76</v>
      </c>
      <c r="H24" s="2" t="s">
        <v>105</v>
      </c>
      <c r="I24" s="2" t="s">
        <v>304</v>
      </c>
      <c r="J24" s="2" t="s">
        <v>300</v>
      </c>
    </row>
    <row r="25" spans="1:10" ht="55" customHeight="1" x14ac:dyDescent="0.2">
      <c r="A25" s="2">
        <v>25</v>
      </c>
      <c r="B25" s="2" t="s">
        <v>462</v>
      </c>
      <c r="C25" s="2" t="s">
        <v>465</v>
      </c>
      <c r="D25" s="2" t="s">
        <v>45</v>
      </c>
      <c r="E25" s="2" t="s">
        <v>49</v>
      </c>
      <c r="F25" s="2" t="s">
        <v>50</v>
      </c>
      <c r="G25" s="2" t="s">
        <v>37</v>
      </c>
      <c r="H25" s="2" t="s">
        <v>51</v>
      </c>
      <c r="I25" s="2" t="s">
        <v>456</v>
      </c>
      <c r="J25" s="2" t="s">
        <v>457</v>
      </c>
    </row>
    <row r="26" spans="1:10" ht="55" customHeight="1" x14ac:dyDescent="0.2">
      <c r="A26" s="2">
        <v>26</v>
      </c>
      <c r="B26" s="2" t="s">
        <v>458</v>
      </c>
      <c r="C26" s="2" t="s">
        <v>461</v>
      </c>
      <c r="D26" s="2" t="s">
        <v>45</v>
      </c>
      <c r="E26" s="2" t="s">
        <v>49</v>
      </c>
      <c r="F26" s="2" t="s">
        <v>50</v>
      </c>
      <c r="G26" s="2" t="s">
        <v>37</v>
      </c>
      <c r="H26" s="2" t="s">
        <v>51</v>
      </c>
      <c r="I26" s="2" t="s">
        <v>456</v>
      </c>
      <c r="J26" s="2" t="s">
        <v>457</v>
      </c>
    </row>
    <row r="27" spans="1:10" ht="55" customHeight="1" x14ac:dyDescent="0.2">
      <c r="A27" s="2">
        <v>27</v>
      </c>
      <c r="B27" s="2" t="s">
        <v>436</v>
      </c>
      <c r="C27" s="2" t="s">
        <v>439</v>
      </c>
      <c r="D27" s="2" t="s">
        <v>437</v>
      </c>
      <c r="E27" s="2" t="s">
        <v>440</v>
      </c>
      <c r="F27" s="2" t="s">
        <v>441</v>
      </c>
      <c r="G27" s="2" t="s">
        <v>442</v>
      </c>
      <c r="H27" s="2" t="s">
        <v>443</v>
      </c>
      <c r="I27" s="2" t="s">
        <v>444</v>
      </c>
      <c r="J27" s="2" t="s">
        <v>438</v>
      </c>
    </row>
    <row r="28" spans="1:10" ht="55" customHeight="1" x14ac:dyDescent="0.2">
      <c r="A28" s="2">
        <v>28</v>
      </c>
      <c r="B28" s="2" t="s">
        <v>445</v>
      </c>
      <c r="C28" s="2" t="s">
        <v>449</v>
      </c>
      <c r="D28" s="2" t="s">
        <v>447</v>
      </c>
      <c r="E28" s="2" t="s">
        <v>450</v>
      </c>
      <c r="F28" s="2" t="s">
        <v>451</v>
      </c>
      <c r="G28" s="2" t="s">
        <v>442</v>
      </c>
      <c r="H28" s="2" t="s">
        <v>443</v>
      </c>
      <c r="I28" s="2" t="s">
        <v>452</v>
      </c>
      <c r="J28" s="2" t="s">
        <v>448</v>
      </c>
    </row>
    <row r="29" spans="1:10" ht="55" customHeight="1" x14ac:dyDescent="0.2">
      <c r="A29" s="2">
        <v>29</v>
      </c>
      <c r="B29" s="2" t="s">
        <v>428</v>
      </c>
      <c r="C29" s="2" t="s">
        <v>433</v>
      </c>
      <c r="D29" s="2" t="s">
        <v>431</v>
      </c>
      <c r="E29" s="2" t="s">
        <v>434</v>
      </c>
      <c r="F29" s="2" t="s">
        <v>253</v>
      </c>
      <c r="G29" s="2" t="s">
        <v>76</v>
      </c>
      <c r="H29" s="2" t="s">
        <v>254</v>
      </c>
      <c r="I29" s="2" t="s">
        <v>435</v>
      </c>
      <c r="J29" s="2" t="s">
        <v>432</v>
      </c>
    </row>
    <row r="30" spans="1:10" ht="55" customHeight="1" x14ac:dyDescent="0.2">
      <c r="A30" s="2">
        <v>30</v>
      </c>
      <c r="B30" s="2" t="s">
        <v>453</v>
      </c>
      <c r="C30" s="2" t="s">
        <v>283</v>
      </c>
      <c r="D30" s="2" t="s">
        <v>45</v>
      </c>
      <c r="E30" s="2" t="s">
        <v>49</v>
      </c>
      <c r="F30" s="2" t="s">
        <v>50</v>
      </c>
      <c r="G30" s="2" t="s">
        <v>37</v>
      </c>
      <c r="H30" s="2" t="s">
        <v>51</v>
      </c>
      <c r="I30" s="2" t="s">
        <v>456</v>
      </c>
      <c r="J30" s="2" t="s">
        <v>457</v>
      </c>
    </row>
    <row r="31" spans="1:10" ht="55" customHeight="1" x14ac:dyDescent="0.2">
      <c r="A31" s="2">
        <v>31</v>
      </c>
      <c r="B31" s="2" t="s">
        <v>165</v>
      </c>
      <c r="C31" s="2" t="s">
        <v>170</v>
      </c>
      <c r="D31" s="2" t="s">
        <v>167</v>
      </c>
      <c r="E31" s="2" t="s">
        <v>171</v>
      </c>
      <c r="F31" s="2" t="s">
        <v>172</v>
      </c>
      <c r="G31" s="2" t="s">
        <v>173</v>
      </c>
      <c r="H31" s="2" t="s">
        <v>174</v>
      </c>
      <c r="I31" s="2" t="s">
        <v>175</v>
      </c>
      <c r="J31" s="2" t="s">
        <v>168</v>
      </c>
    </row>
    <row r="32" spans="1:10" ht="55" customHeight="1" x14ac:dyDescent="0.2">
      <c r="A32" s="2">
        <v>32</v>
      </c>
      <c r="B32" s="2" t="s">
        <v>178</v>
      </c>
      <c r="C32" s="2" t="s">
        <v>170</v>
      </c>
      <c r="D32" s="2" t="s">
        <v>167</v>
      </c>
      <c r="E32" s="2" t="s">
        <v>171</v>
      </c>
      <c r="F32" s="2" t="s">
        <v>172</v>
      </c>
      <c r="G32" s="2" t="s">
        <v>173</v>
      </c>
      <c r="H32" s="2" t="s">
        <v>174</v>
      </c>
      <c r="I32" s="2" t="s">
        <v>175</v>
      </c>
      <c r="J32" s="2" t="s">
        <v>168</v>
      </c>
    </row>
    <row r="33" spans="1:10" ht="55" customHeight="1" x14ac:dyDescent="0.2">
      <c r="A33" s="2">
        <v>33</v>
      </c>
      <c r="B33" s="2" t="s">
        <v>182</v>
      </c>
      <c r="C33" s="2" t="s">
        <v>170</v>
      </c>
      <c r="D33" s="2" t="s">
        <v>167</v>
      </c>
      <c r="E33" s="2" t="s">
        <v>171</v>
      </c>
      <c r="F33" s="2" t="s">
        <v>172</v>
      </c>
      <c r="G33" s="2" t="s">
        <v>173</v>
      </c>
      <c r="H33" s="2" t="s">
        <v>174</v>
      </c>
      <c r="I33" s="2" t="s">
        <v>175</v>
      </c>
      <c r="J33" s="2" t="s">
        <v>168</v>
      </c>
    </row>
    <row r="34" spans="1:10" ht="55" customHeight="1" x14ac:dyDescent="0.2">
      <c r="A34" s="2">
        <v>34</v>
      </c>
      <c r="B34" s="2" t="s">
        <v>180</v>
      </c>
      <c r="C34" s="2" t="s">
        <v>170</v>
      </c>
      <c r="D34" s="2" t="s">
        <v>167</v>
      </c>
      <c r="E34" s="2" t="s">
        <v>171</v>
      </c>
      <c r="F34" s="2" t="s">
        <v>172</v>
      </c>
      <c r="G34" s="2" t="s">
        <v>173</v>
      </c>
      <c r="H34" s="2" t="s">
        <v>174</v>
      </c>
      <c r="I34" s="2" t="s">
        <v>175</v>
      </c>
      <c r="J34" s="2" t="s">
        <v>168</v>
      </c>
    </row>
    <row r="35" spans="1:10" ht="55" customHeight="1" x14ac:dyDescent="0.2">
      <c r="A35" s="2">
        <v>35</v>
      </c>
      <c r="B35" s="2" t="s">
        <v>176</v>
      </c>
      <c r="C35" s="2" t="s">
        <v>170</v>
      </c>
      <c r="D35" s="2" t="s">
        <v>167</v>
      </c>
      <c r="E35" s="2" t="s">
        <v>171</v>
      </c>
      <c r="F35" s="2" t="s">
        <v>172</v>
      </c>
      <c r="G35" s="2" t="s">
        <v>173</v>
      </c>
      <c r="H35" s="2" t="s">
        <v>174</v>
      </c>
      <c r="I35" s="2" t="s">
        <v>175</v>
      </c>
      <c r="J35" s="2" t="s">
        <v>168</v>
      </c>
    </row>
    <row r="36" spans="1:10" ht="55" customHeight="1" x14ac:dyDescent="0.2">
      <c r="A36" s="2">
        <v>36</v>
      </c>
      <c r="B36" s="2" t="s">
        <v>326</v>
      </c>
      <c r="C36" s="2" t="s">
        <v>329</v>
      </c>
      <c r="D36" s="2" t="s">
        <v>68</v>
      </c>
      <c r="E36" s="2" t="s">
        <v>74</v>
      </c>
      <c r="F36" s="2" t="s">
        <v>75</v>
      </c>
      <c r="G36" s="2" t="s">
        <v>76</v>
      </c>
      <c r="H36" s="2" t="s">
        <v>51</v>
      </c>
      <c r="I36" s="2" t="s">
        <v>330</v>
      </c>
      <c r="J36" s="2" t="s">
        <v>331</v>
      </c>
    </row>
    <row r="37" spans="1:10" ht="55" customHeight="1" x14ac:dyDescent="0.2">
      <c r="A37" s="2">
        <v>37</v>
      </c>
      <c r="B37" s="2" t="s">
        <v>466</v>
      </c>
      <c r="C37" s="2" t="s">
        <v>472</v>
      </c>
      <c r="D37" s="2" t="s">
        <v>68</v>
      </c>
      <c r="E37" s="2" t="s">
        <v>74</v>
      </c>
      <c r="F37" s="2" t="s">
        <v>75</v>
      </c>
      <c r="G37" s="2" t="s">
        <v>76</v>
      </c>
      <c r="H37" s="2" t="s">
        <v>51</v>
      </c>
      <c r="I37" s="2" t="s">
        <v>473</v>
      </c>
      <c r="J37" s="2" t="s">
        <v>470</v>
      </c>
    </row>
    <row r="38" spans="1:10" ht="55" customHeight="1" x14ac:dyDescent="0.2">
      <c r="A38" s="2">
        <v>38</v>
      </c>
      <c r="B38" s="2" t="s">
        <v>384</v>
      </c>
      <c r="C38" s="2" t="s">
        <v>391</v>
      </c>
      <c r="D38" s="2" t="s">
        <v>386</v>
      </c>
      <c r="E38" s="2" t="s">
        <v>103</v>
      </c>
      <c r="F38" s="2" t="s">
        <v>392</v>
      </c>
      <c r="G38" s="2" t="s">
        <v>76</v>
      </c>
      <c r="H38" s="2" t="s">
        <v>105</v>
      </c>
      <c r="I38" s="2" t="s">
        <v>393</v>
      </c>
      <c r="J38" s="2" t="s">
        <v>389</v>
      </c>
    </row>
    <row r="39" spans="1:10" ht="55" customHeight="1" x14ac:dyDescent="0.2">
      <c r="A39" s="2">
        <v>39</v>
      </c>
      <c r="B39" s="2" t="s">
        <v>239</v>
      </c>
      <c r="C39" s="2" t="s">
        <v>236</v>
      </c>
      <c r="D39" s="2" t="s">
        <v>157</v>
      </c>
      <c r="E39" s="2" t="s">
        <v>74</v>
      </c>
      <c r="F39" s="2" t="s">
        <v>162</v>
      </c>
      <c r="G39" s="2" t="s">
        <v>76</v>
      </c>
      <c r="H39" s="2" t="s">
        <v>51</v>
      </c>
      <c r="I39" s="2" t="s">
        <v>237</v>
      </c>
      <c r="J39" s="2" t="s">
        <v>238</v>
      </c>
    </row>
    <row r="40" spans="1:10" ht="55" customHeight="1" x14ac:dyDescent="0.2">
      <c r="A40" s="2">
        <v>40</v>
      </c>
      <c r="B40" s="2" t="s">
        <v>230</v>
      </c>
      <c r="C40" s="2" t="s">
        <v>236</v>
      </c>
      <c r="D40" s="2" t="s">
        <v>157</v>
      </c>
      <c r="E40" s="2" t="s">
        <v>74</v>
      </c>
      <c r="F40" s="2" t="s">
        <v>162</v>
      </c>
      <c r="G40" s="2" t="s">
        <v>76</v>
      </c>
      <c r="H40" s="2" t="s">
        <v>51</v>
      </c>
      <c r="I40" s="2" t="s">
        <v>237</v>
      </c>
      <c r="J40" s="2" t="s">
        <v>238</v>
      </c>
    </row>
    <row r="41" spans="1:10" ht="55" customHeight="1" x14ac:dyDescent="0.2">
      <c r="A41" s="2">
        <v>41</v>
      </c>
      <c r="B41" s="2" t="s">
        <v>66</v>
      </c>
      <c r="C41" s="2" t="s">
        <v>73</v>
      </c>
      <c r="D41" s="2" t="s">
        <v>68</v>
      </c>
      <c r="E41" s="2" t="s">
        <v>74</v>
      </c>
      <c r="F41" s="2" t="s">
        <v>75</v>
      </c>
      <c r="G41" s="2" t="s">
        <v>76</v>
      </c>
      <c r="H41" s="2" t="s">
        <v>51</v>
      </c>
      <c r="I41" s="2" t="s">
        <v>77</v>
      </c>
      <c r="J41" s="2" t="s">
        <v>71</v>
      </c>
    </row>
    <row r="42" spans="1:10" ht="55" customHeight="1" x14ac:dyDescent="0.2">
      <c r="A42" s="2">
        <v>42</v>
      </c>
      <c r="B42" s="2" t="s">
        <v>79</v>
      </c>
      <c r="C42" s="2" t="s">
        <v>73</v>
      </c>
      <c r="D42" s="2" t="s">
        <v>68</v>
      </c>
      <c r="E42" s="2" t="s">
        <v>74</v>
      </c>
      <c r="F42" s="2" t="s">
        <v>75</v>
      </c>
      <c r="G42" s="2" t="s">
        <v>76</v>
      </c>
      <c r="H42" s="2" t="s">
        <v>51</v>
      </c>
      <c r="I42" s="2" t="s">
        <v>77</v>
      </c>
      <c r="J42" s="2" t="s">
        <v>71</v>
      </c>
    </row>
    <row r="43" spans="1:10" ht="55" customHeight="1" x14ac:dyDescent="0.2">
      <c r="A43" s="2">
        <v>43</v>
      </c>
      <c r="B43" s="2" t="s">
        <v>82</v>
      </c>
      <c r="C43" s="2" t="s">
        <v>73</v>
      </c>
      <c r="D43" s="2" t="s">
        <v>68</v>
      </c>
      <c r="E43" s="2" t="s">
        <v>74</v>
      </c>
      <c r="F43" s="2" t="s">
        <v>75</v>
      </c>
      <c r="G43" s="2" t="s">
        <v>76</v>
      </c>
      <c r="H43" s="2" t="s">
        <v>51</v>
      </c>
      <c r="I43" s="2" t="s">
        <v>77</v>
      </c>
      <c r="J43" s="2" t="s">
        <v>71</v>
      </c>
    </row>
    <row r="44" spans="1:10" ht="55" customHeight="1" x14ac:dyDescent="0.2">
      <c r="A44" s="2">
        <v>44</v>
      </c>
      <c r="B44" s="2" t="s">
        <v>85</v>
      </c>
      <c r="C44" s="2" t="s">
        <v>88</v>
      </c>
      <c r="D44" s="2" t="s">
        <v>86</v>
      </c>
      <c r="E44" s="2" t="s">
        <v>74</v>
      </c>
      <c r="F44" s="2" t="s">
        <v>89</v>
      </c>
      <c r="G44" s="2" t="s">
        <v>90</v>
      </c>
      <c r="H44" s="2" t="s">
        <v>91</v>
      </c>
      <c r="I44" s="2" t="s">
        <v>92</v>
      </c>
      <c r="J44" s="2" t="s">
        <v>93</v>
      </c>
    </row>
    <row r="45" spans="1:10" ht="55" customHeight="1" x14ac:dyDescent="0.2">
      <c r="A45" s="2">
        <v>45</v>
      </c>
      <c r="B45" s="2" t="s">
        <v>94</v>
      </c>
      <c r="C45" s="2" t="s">
        <v>88</v>
      </c>
      <c r="D45" s="2" t="s">
        <v>86</v>
      </c>
      <c r="E45" s="2" t="s">
        <v>74</v>
      </c>
      <c r="F45" s="2" t="s">
        <v>89</v>
      </c>
      <c r="G45" s="2" t="s">
        <v>90</v>
      </c>
      <c r="H45" s="2" t="s">
        <v>91</v>
      </c>
      <c r="I45" s="2" t="s">
        <v>92</v>
      </c>
      <c r="J45" s="2" t="s">
        <v>93</v>
      </c>
    </row>
    <row r="46" spans="1:10" ht="55" customHeight="1" x14ac:dyDescent="0.2">
      <c r="A46" s="2">
        <v>46</v>
      </c>
      <c r="B46" s="2" t="s">
        <v>95</v>
      </c>
      <c r="C46" s="2" t="s">
        <v>88</v>
      </c>
      <c r="D46" s="2" t="s">
        <v>86</v>
      </c>
      <c r="E46" s="2" t="s">
        <v>74</v>
      </c>
      <c r="F46" s="2" t="s">
        <v>89</v>
      </c>
      <c r="G46" s="2" t="s">
        <v>90</v>
      </c>
      <c r="H46" s="2" t="s">
        <v>91</v>
      </c>
      <c r="I46" s="2" t="s">
        <v>92</v>
      </c>
      <c r="J46" s="2" t="s">
        <v>93</v>
      </c>
    </row>
    <row r="47" spans="1:10" ht="55" customHeight="1" x14ac:dyDescent="0.2">
      <c r="A47" s="2">
        <v>47</v>
      </c>
      <c r="B47" s="2" t="s">
        <v>153</v>
      </c>
      <c r="C47" s="2" t="s">
        <v>150</v>
      </c>
      <c r="D47" s="2" t="s">
        <v>147</v>
      </c>
      <c r="E47" s="2" t="s">
        <v>103</v>
      </c>
      <c r="F47" s="2" t="s">
        <v>151</v>
      </c>
      <c r="G47" s="2" t="s">
        <v>76</v>
      </c>
      <c r="H47" s="2" t="s">
        <v>105</v>
      </c>
      <c r="I47" s="2" t="s">
        <v>152</v>
      </c>
      <c r="J47" s="2" t="s">
        <v>148</v>
      </c>
    </row>
    <row r="48" spans="1:10" ht="55" customHeight="1" x14ac:dyDescent="0.2">
      <c r="A48" s="2">
        <v>48</v>
      </c>
      <c r="B48" s="2" t="s">
        <v>145</v>
      </c>
      <c r="C48" s="2" t="s">
        <v>150</v>
      </c>
      <c r="D48" s="2" t="s">
        <v>147</v>
      </c>
      <c r="E48" s="2" t="s">
        <v>103</v>
      </c>
      <c r="F48" s="2" t="s">
        <v>151</v>
      </c>
      <c r="G48" s="2" t="s">
        <v>76</v>
      </c>
      <c r="H48" s="2" t="s">
        <v>105</v>
      </c>
      <c r="I48" s="2" t="s">
        <v>152</v>
      </c>
      <c r="J48" s="2" t="s">
        <v>148</v>
      </c>
    </row>
    <row r="49" spans="1:10" ht="55" customHeight="1" x14ac:dyDescent="0.2">
      <c r="A49" s="2">
        <v>49</v>
      </c>
      <c r="B49" s="2" t="s">
        <v>332</v>
      </c>
      <c r="C49" s="2" t="s">
        <v>338</v>
      </c>
      <c r="D49" s="2" t="s">
        <v>333</v>
      </c>
      <c r="E49" s="2" t="s">
        <v>103</v>
      </c>
      <c r="F49" s="2" t="s">
        <v>339</v>
      </c>
      <c r="G49" s="2" t="s">
        <v>90</v>
      </c>
      <c r="H49" s="2" t="s">
        <v>105</v>
      </c>
      <c r="I49" s="2" t="s">
        <v>340</v>
      </c>
      <c r="J49" s="2" t="s">
        <v>336</v>
      </c>
    </row>
    <row r="50" spans="1:10" ht="55" customHeight="1" x14ac:dyDescent="0.2">
      <c r="A50" s="2">
        <v>50</v>
      </c>
      <c r="B50" s="2" t="s">
        <v>414</v>
      </c>
      <c r="C50" s="2" t="s">
        <v>420</v>
      </c>
      <c r="D50" s="2" t="s">
        <v>416</v>
      </c>
      <c r="E50" s="2" t="s">
        <v>421</v>
      </c>
      <c r="F50" s="2" t="s">
        <v>422</v>
      </c>
      <c r="G50" s="2" t="s">
        <v>37</v>
      </c>
      <c r="H50" s="2" t="s">
        <v>51</v>
      </c>
      <c r="I50" s="2" t="s">
        <v>423</v>
      </c>
      <c r="J50" s="2" t="s">
        <v>418</v>
      </c>
    </row>
    <row r="51" spans="1:10" ht="55" customHeight="1" x14ac:dyDescent="0.2">
      <c r="A51" s="2">
        <v>51</v>
      </c>
      <c r="B51" s="2" t="s">
        <v>424</v>
      </c>
      <c r="C51" s="2" t="s">
        <v>425</v>
      </c>
      <c r="D51" s="2" t="s">
        <v>30</v>
      </c>
      <c r="E51" s="2" t="s">
        <v>35</v>
      </c>
      <c r="F51" s="2" t="s">
        <v>426</v>
      </c>
      <c r="G51" s="2" t="s">
        <v>37</v>
      </c>
      <c r="H51" s="2" t="s">
        <v>51</v>
      </c>
      <c r="I51" s="2" t="s">
        <v>427</v>
      </c>
      <c r="J51" s="2" t="s">
        <v>418</v>
      </c>
    </row>
    <row r="52" spans="1:10" ht="55" customHeight="1" x14ac:dyDescent="0.2">
      <c r="A52" s="2">
        <v>52</v>
      </c>
      <c r="B52" s="2" t="s">
        <v>220</v>
      </c>
      <c r="C52" s="2" t="s">
        <v>225</v>
      </c>
      <c r="D52" s="2" t="s">
        <v>221</v>
      </c>
      <c r="E52" s="2" t="s">
        <v>226</v>
      </c>
      <c r="F52" s="2" t="s">
        <v>227</v>
      </c>
      <c r="G52" s="2" t="s">
        <v>90</v>
      </c>
      <c r="H52" s="2" t="s">
        <v>228</v>
      </c>
      <c r="I52" s="2" t="s">
        <v>229</v>
      </c>
      <c r="J52" s="2" t="s">
        <v>222</v>
      </c>
    </row>
    <row r="53" spans="1:10" ht="55" customHeight="1" x14ac:dyDescent="0.2">
      <c r="A53" s="2">
        <v>53</v>
      </c>
      <c r="B53" s="2" t="s">
        <v>474</v>
      </c>
      <c r="C53" s="2" t="s">
        <v>479</v>
      </c>
      <c r="D53" s="2" t="s">
        <v>475</v>
      </c>
      <c r="E53" s="2" t="s">
        <v>103</v>
      </c>
      <c r="F53" s="2" t="s">
        <v>480</v>
      </c>
      <c r="G53" s="2" t="s">
        <v>90</v>
      </c>
      <c r="H53" s="2" t="s">
        <v>481</v>
      </c>
      <c r="I53" s="2" t="s">
        <v>482</v>
      </c>
      <c r="J53" s="2" t="s">
        <v>483</v>
      </c>
    </row>
    <row r="54" spans="1:10" ht="55" customHeight="1" x14ac:dyDescent="0.2">
      <c r="A54" s="2">
        <v>54</v>
      </c>
      <c r="B54" s="2" t="s">
        <v>241</v>
      </c>
      <c r="C54" s="2" t="s">
        <v>170</v>
      </c>
      <c r="D54" s="2" t="s">
        <v>167</v>
      </c>
      <c r="E54" s="2" t="s">
        <v>171</v>
      </c>
      <c r="F54" s="2" t="s">
        <v>172</v>
      </c>
      <c r="G54" s="2" t="s">
        <v>173</v>
      </c>
      <c r="H54" s="2" t="s">
        <v>174</v>
      </c>
      <c r="I54" s="2" t="s">
        <v>247</v>
      </c>
      <c r="J54" s="2" t="s">
        <v>244</v>
      </c>
    </row>
    <row r="55" spans="1:10" ht="55" customHeight="1" x14ac:dyDescent="0.2">
      <c r="A55" s="2">
        <v>55</v>
      </c>
      <c r="B55" s="2" t="s">
        <v>308</v>
      </c>
      <c r="C55" s="2" t="s">
        <v>314</v>
      </c>
      <c r="D55" s="2" t="s">
        <v>310</v>
      </c>
      <c r="E55" s="2" t="s">
        <v>315</v>
      </c>
      <c r="F55" s="2" t="s">
        <v>316</v>
      </c>
      <c r="G55" s="2" t="s">
        <v>173</v>
      </c>
      <c r="H55" s="2" t="s">
        <v>174</v>
      </c>
      <c r="I55" s="2" t="s">
        <v>317</v>
      </c>
      <c r="J55" s="2" t="s">
        <v>312</v>
      </c>
    </row>
    <row r="56" spans="1:10" ht="55" customHeight="1" x14ac:dyDescent="0.2">
      <c r="A56" s="2">
        <v>56</v>
      </c>
      <c r="B56" s="2" t="s">
        <v>380</v>
      </c>
      <c r="C56" s="2" t="s">
        <v>382</v>
      </c>
      <c r="D56" s="2" t="s">
        <v>381</v>
      </c>
      <c r="E56" s="2" t="s">
        <v>127</v>
      </c>
      <c r="F56" s="2" t="s">
        <v>369</v>
      </c>
      <c r="G56" s="2" t="s">
        <v>76</v>
      </c>
      <c r="H56" s="2" t="s">
        <v>105</v>
      </c>
      <c r="I56" s="2" t="s">
        <v>383</v>
      </c>
      <c r="J56" s="2" t="s">
        <v>361</v>
      </c>
    </row>
    <row r="57" spans="1:10" ht="55" customHeight="1" x14ac:dyDescent="0.2">
      <c r="A57" s="2">
        <v>57</v>
      </c>
      <c r="B57" s="2" t="s">
        <v>357</v>
      </c>
      <c r="C57" s="2" t="s">
        <v>362</v>
      </c>
      <c r="D57" s="2" t="s">
        <v>359</v>
      </c>
      <c r="E57" s="2" t="s">
        <v>362</v>
      </c>
      <c r="F57" s="2" t="s">
        <v>363</v>
      </c>
      <c r="G57" s="2" t="s">
        <v>37</v>
      </c>
      <c r="H57" s="2" t="s">
        <v>51</v>
      </c>
      <c r="I57" s="2" t="s">
        <v>364</v>
      </c>
      <c r="J57" s="2" t="s">
        <v>361</v>
      </c>
    </row>
    <row r="58" spans="1:10" ht="55" customHeight="1" x14ac:dyDescent="0.2">
      <c r="A58" s="2">
        <v>58</v>
      </c>
      <c r="B58" s="2" t="s">
        <v>365</v>
      </c>
      <c r="C58" s="2" t="s">
        <v>368</v>
      </c>
      <c r="D58" s="2" t="s">
        <v>366</v>
      </c>
      <c r="E58" s="2" t="s">
        <v>127</v>
      </c>
      <c r="F58" s="2" t="s">
        <v>369</v>
      </c>
      <c r="G58" s="2" t="s">
        <v>76</v>
      </c>
      <c r="H58" s="2" t="s">
        <v>105</v>
      </c>
      <c r="I58" s="2" t="s">
        <v>370</v>
      </c>
      <c r="J58" s="2" t="s">
        <v>361</v>
      </c>
    </row>
    <row r="59" spans="1:10" ht="55" customHeight="1" x14ac:dyDescent="0.2">
      <c r="A59" s="2">
        <v>59</v>
      </c>
      <c r="B59" s="2" t="s">
        <v>371</v>
      </c>
      <c r="C59" s="2" t="s">
        <v>362</v>
      </c>
      <c r="D59" s="2" t="s">
        <v>359</v>
      </c>
      <c r="E59" s="2" t="s">
        <v>362</v>
      </c>
      <c r="F59" s="2" t="s">
        <v>373</v>
      </c>
      <c r="G59" s="2" t="s">
        <v>37</v>
      </c>
      <c r="H59" s="2" t="s">
        <v>51</v>
      </c>
      <c r="I59" s="2" t="s">
        <v>364</v>
      </c>
      <c r="J59" s="2" t="s">
        <v>361</v>
      </c>
    </row>
    <row r="60" spans="1:10" ht="55" customHeight="1" x14ac:dyDescent="0.2">
      <c r="A60" s="2">
        <v>60</v>
      </c>
      <c r="B60" s="2" t="s">
        <v>374</v>
      </c>
      <c r="C60" s="2"/>
      <c r="D60" s="2" t="s">
        <v>375</v>
      </c>
      <c r="E60" s="2" t="s">
        <v>376</v>
      </c>
      <c r="F60" s="2" t="s">
        <v>376</v>
      </c>
      <c r="G60" s="2" t="s">
        <v>377</v>
      </c>
      <c r="H60" s="2" t="s">
        <v>267</v>
      </c>
      <c r="I60" s="2" t="s">
        <v>378</v>
      </c>
      <c r="J60" s="2" t="s">
        <v>361</v>
      </c>
    </row>
    <row r="61" spans="1:10" ht="55" customHeight="1" x14ac:dyDescent="0.2">
      <c r="A61" s="2">
        <v>61</v>
      </c>
      <c r="B61" s="2" t="s">
        <v>379</v>
      </c>
      <c r="C61" s="2"/>
      <c r="D61" s="2" t="s">
        <v>375</v>
      </c>
      <c r="E61" s="2" t="s">
        <v>376</v>
      </c>
      <c r="F61" s="2" t="s">
        <v>376</v>
      </c>
      <c r="G61" s="2" t="s">
        <v>377</v>
      </c>
      <c r="H61" s="2" t="s">
        <v>267</v>
      </c>
      <c r="I61" s="2" t="s">
        <v>378</v>
      </c>
      <c r="J61" s="2" t="s">
        <v>361</v>
      </c>
    </row>
    <row r="62" spans="1:10" ht="55" customHeight="1" x14ac:dyDescent="0.2">
      <c r="A62" s="2">
        <v>62</v>
      </c>
      <c r="B62" s="2" t="s">
        <v>394</v>
      </c>
      <c r="C62" s="2" t="s">
        <v>402</v>
      </c>
      <c r="D62" s="2" t="s">
        <v>397</v>
      </c>
      <c r="E62" s="2" t="s">
        <v>74</v>
      </c>
      <c r="F62" s="2" t="s">
        <v>403</v>
      </c>
      <c r="G62" s="2" t="s">
        <v>76</v>
      </c>
      <c r="H62" s="2" t="s">
        <v>51</v>
      </c>
      <c r="I62" s="2" t="s">
        <v>404</v>
      </c>
      <c r="J62" s="2" t="s">
        <v>399</v>
      </c>
    </row>
    <row r="63" spans="1:10" ht="55" customHeight="1" x14ac:dyDescent="0.2">
      <c r="A63" s="2">
        <v>63</v>
      </c>
      <c r="B63" s="2" t="s">
        <v>405</v>
      </c>
      <c r="C63" s="2" t="s">
        <v>402</v>
      </c>
      <c r="D63" s="2" t="s">
        <v>397</v>
      </c>
      <c r="E63" s="2" t="s">
        <v>74</v>
      </c>
      <c r="F63" s="2" t="s">
        <v>403</v>
      </c>
      <c r="G63" s="2" t="s">
        <v>76</v>
      </c>
      <c r="H63" s="2" t="s">
        <v>51</v>
      </c>
      <c r="I63" s="2" t="s">
        <v>404</v>
      </c>
      <c r="J63" s="2" t="s">
        <v>399</v>
      </c>
    </row>
    <row r="64" spans="1:10" ht="55" customHeight="1" x14ac:dyDescent="0.2">
      <c r="A64" s="2">
        <v>64</v>
      </c>
      <c r="B64" s="2" t="s">
        <v>408</v>
      </c>
      <c r="C64" s="2" t="s">
        <v>402</v>
      </c>
      <c r="D64" s="2" t="s">
        <v>397</v>
      </c>
      <c r="E64" s="2" t="s">
        <v>74</v>
      </c>
      <c r="F64" s="2" t="s">
        <v>403</v>
      </c>
      <c r="G64" s="2" t="s">
        <v>76</v>
      </c>
      <c r="H64" s="2" t="s">
        <v>51</v>
      </c>
      <c r="I64" s="2" t="s">
        <v>404</v>
      </c>
      <c r="J64" s="2" t="s">
        <v>399</v>
      </c>
    </row>
    <row r="65" spans="1:10" ht="55" customHeight="1" x14ac:dyDescent="0.2">
      <c r="A65" s="2">
        <v>65</v>
      </c>
      <c r="B65" s="2" t="s">
        <v>411</v>
      </c>
      <c r="C65" s="2" t="s">
        <v>402</v>
      </c>
      <c r="D65" s="2" t="s">
        <v>397</v>
      </c>
      <c r="E65" s="2" t="s">
        <v>74</v>
      </c>
      <c r="F65" s="2" t="s">
        <v>403</v>
      </c>
      <c r="G65" s="2" t="s">
        <v>76</v>
      </c>
      <c r="H65" s="2" t="s">
        <v>51</v>
      </c>
      <c r="I65" s="2" t="s">
        <v>404</v>
      </c>
      <c r="J65" s="2" t="s">
        <v>399</v>
      </c>
    </row>
    <row r="66" spans="1:10" ht="55" customHeight="1" x14ac:dyDescent="0.2">
      <c r="A66" s="2">
        <v>66</v>
      </c>
      <c r="B66" s="2" t="s">
        <v>143</v>
      </c>
      <c r="C66" s="2" t="s">
        <v>139</v>
      </c>
      <c r="D66" s="2" t="s">
        <v>135</v>
      </c>
      <c r="E66" s="2" t="s">
        <v>74</v>
      </c>
      <c r="F66" s="2" t="s">
        <v>140</v>
      </c>
      <c r="G66" s="2" t="s">
        <v>76</v>
      </c>
      <c r="H66" s="2" t="s">
        <v>51</v>
      </c>
      <c r="I66" s="2" t="s">
        <v>141</v>
      </c>
      <c r="J66" s="2" t="s">
        <v>142</v>
      </c>
    </row>
    <row r="67" spans="1:10" ht="55" customHeight="1" x14ac:dyDescent="0.2">
      <c r="A67" s="2">
        <v>67</v>
      </c>
      <c r="B67" s="2" t="s">
        <v>132</v>
      </c>
      <c r="C67" s="2" t="s">
        <v>139</v>
      </c>
      <c r="D67" s="2" t="s">
        <v>135</v>
      </c>
      <c r="E67" s="2" t="s">
        <v>74</v>
      </c>
      <c r="F67" s="2" t="s">
        <v>140</v>
      </c>
      <c r="G67" s="2" t="s">
        <v>76</v>
      </c>
      <c r="H67" s="2" t="s">
        <v>51</v>
      </c>
      <c r="I67" s="2" t="s">
        <v>141</v>
      </c>
      <c r="J67" s="2" t="s">
        <v>142</v>
      </c>
    </row>
    <row r="68" spans="1:10" ht="55" customHeight="1" x14ac:dyDescent="0.2">
      <c r="A68" s="2">
        <v>68</v>
      </c>
      <c r="B68" s="2" t="s">
        <v>144</v>
      </c>
      <c r="C68" s="2" t="s">
        <v>139</v>
      </c>
      <c r="D68" s="2" t="s">
        <v>135</v>
      </c>
      <c r="E68" s="2" t="s">
        <v>74</v>
      </c>
      <c r="F68" s="2" t="s">
        <v>140</v>
      </c>
      <c r="G68" s="2" t="s">
        <v>76</v>
      </c>
      <c r="H68" s="2" t="s">
        <v>51</v>
      </c>
      <c r="I68" s="2" t="s">
        <v>141</v>
      </c>
      <c r="J68" s="2" t="s">
        <v>142</v>
      </c>
    </row>
    <row r="69" spans="1:10" ht="55" customHeight="1" x14ac:dyDescent="0.2">
      <c r="A69" s="2">
        <v>69</v>
      </c>
      <c r="B69" s="2" t="s">
        <v>132</v>
      </c>
      <c r="C69" s="2" t="s">
        <v>139</v>
      </c>
      <c r="D69" s="2" t="s">
        <v>135</v>
      </c>
      <c r="E69" s="2" t="s">
        <v>74</v>
      </c>
      <c r="F69" s="2" t="s">
        <v>140</v>
      </c>
      <c r="G69" s="2" t="s">
        <v>76</v>
      </c>
      <c r="H69" s="2" t="s">
        <v>51</v>
      </c>
      <c r="I69" s="2" t="s">
        <v>141</v>
      </c>
      <c r="J69" s="2" t="s">
        <v>142</v>
      </c>
    </row>
    <row r="70" spans="1:10" ht="55" customHeight="1" x14ac:dyDescent="0.2">
      <c r="A70" s="2">
        <v>70</v>
      </c>
      <c r="B70" s="2" t="s">
        <v>484</v>
      </c>
      <c r="C70" s="2" t="s">
        <v>34</v>
      </c>
      <c r="D70" s="2" t="s">
        <v>30</v>
      </c>
      <c r="E70" s="2" t="s">
        <v>35</v>
      </c>
      <c r="F70" s="2" t="s">
        <v>36</v>
      </c>
      <c r="G70" s="2" t="s">
        <v>37</v>
      </c>
      <c r="H70" s="2" t="s">
        <v>38</v>
      </c>
      <c r="I70" s="2" t="s">
        <v>486</v>
      </c>
      <c r="J70" s="2" t="s">
        <v>487</v>
      </c>
    </row>
    <row r="71" spans="1:10" ht="55" customHeight="1" x14ac:dyDescent="0.2">
      <c r="A71" s="2">
        <v>71</v>
      </c>
      <c r="B71" s="2" t="s">
        <v>341</v>
      </c>
      <c r="C71" s="2" t="s">
        <v>34</v>
      </c>
      <c r="D71" s="2" t="s">
        <v>30</v>
      </c>
      <c r="E71" s="2" t="s">
        <v>35</v>
      </c>
      <c r="F71" s="2" t="s">
        <v>36</v>
      </c>
      <c r="G71" s="2" t="s">
        <v>37</v>
      </c>
      <c r="H71" s="2" t="s">
        <v>38</v>
      </c>
      <c r="I71" s="2" t="s">
        <v>39</v>
      </c>
      <c r="J71" s="2" t="s">
        <v>40</v>
      </c>
    </row>
    <row r="72" spans="1:10" ht="55" customHeight="1" x14ac:dyDescent="0.2">
      <c r="A72" s="2">
        <v>72</v>
      </c>
      <c r="B72" s="2" t="s">
        <v>346</v>
      </c>
      <c r="C72" s="2" t="s">
        <v>34</v>
      </c>
      <c r="D72" s="2" t="s">
        <v>30</v>
      </c>
      <c r="E72" s="2" t="s">
        <v>35</v>
      </c>
      <c r="F72" s="2" t="s">
        <v>36</v>
      </c>
      <c r="G72" s="2" t="s">
        <v>37</v>
      </c>
      <c r="H72" s="2" t="s">
        <v>38</v>
      </c>
      <c r="I72" s="2" t="s">
        <v>39</v>
      </c>
      <c r="J72" s="2" t="s">
        <v>40</v>
      </c>
    </row>
    <row r="73" spans="1:10" ht="55" customHeight="1" x14ac:dyDescent="0.2">
      <c r="A73" s="2">
        <v>73</v>
      </c>
      <c r="B73" s="2" t="s">
        <v>348</v>
      </c>
      <c r="C73" s="2" t="s">
        <v>34</v>
      </c>
      <c r="D73" s="2" t="s">
        <v>30</v>
      </c>
      <c r="E73" s="2" t="s">
        <v>35</v>
      </c>
      <c r="F73" s="2" t="s">
        <v>36</v>
      </c>
      <c r="G73" s="2" t="s">
        <v>37</v>
      </c>
      <c r="H73" s="2" t="s">
        <v>38</v>
      </c>
      <c r="I73" s="2" t="s">
        <v>39</v>
      </c>
      <c r="J73" s="2" t="s">
        <v>40</v>
      </c>
    </row>
    <row r="74" spans="1:10" ht="55" customHeight="1" x14ac:dyDescent="0.2">
      <c r="A74" s="2">
        <v>74</v>
      </c>
      <c r="B74" s="2" t="s">
        <v>350</v>
      </c>
      <c r="C74" s="2" t="s">
        <v>34</v>
      </c>
      <c r="D74" s="2" t="s">
        <v>30</v>
      </c>
      <c r="E74" s="2" t="s">
        <v>35</v>
      </c>
      <c r="F74" s="2" t="s">
        <v>36</v>
      </c>
      <c r="G74" s="2" t="s">
        <v>37</v>
      </c>
      <c r="H74" s="2" t="s">
        <v>38</v>
      </c>
      <c r="I74" s="2" t="s">
        <v>39</v>
      </c>
      <c r="J74" s="2" t="s">
        <v>40</v>
      </c>
    </row>
    <row r="75" spans="1:10" ht="55" customHeight="1" x14ac:dyDescent="0.2">
      <c r="A75" s="2">
        <v>75</v>
      </c>
      <c r="B75" s="2" t="s">
        <v>351</v>
      </c>
      <c r="C75" s="2" t="s">
        <v>34</v>
      </c>
      <c r="D75" s="2" t="s">
        <v>30</v>
      </c>
      <c r="E75" s="2" t="s">
        <v>35</v>
      </c>
      <c r="F75" s="2" t="s">
        <v>36</v>
      </c>
      <c r="G75" s="2" t="s">
        <v>37</v>
      </c>
      <c r="H75" s="2" t="s">
        <v>38</v>
      </c>
      <c r="I75" s="2" t="s">
        <v>39</v>
      </c>
      <c r="J75" s="2" t="s">
        <v>40</v>
      </c>
    </row>
    <row r="76" spans="1:10" ht="55" customHeight="1" x14ac:dyDescent="0.2">
      <c r="A76" s="2">
        <v>76</v>
      </c>
      <c r="B76" s="2" t="s">
        <v>352</v>
      </c>
      <c r="C76" s="2" t="s">
        <v>34</v>
      </c>
      <c r="D76" s="2" t="s">
        <v>30</v>
      </c>
      <c r="E76" s="2" t="s">
        <v>35</v>
      </c>
      <c r="F76" s="2" t="s">
        <v>36</v>
      </c>
      <c r="G76" s="2" t="s">
        <v>37</v>
      </c>
      <c r="H76" s="2" t="s">
        <v>38</v>
      </c>
      <c r="I76" s="2" t="s">
        <v>39</v>
      </c>
      <c r="J76" s="2" t="s">
        <v>40</v>
      </c>
    </row>
    <row r="77" spans="1:10" ht="55" customHeight="1" x14ac:dyDescent="0.2">
      <c r="A77" s="2">
        <v>77</v>
      </c>
      <c r="B77" s="2" t="s">
        <v>353</v>
      </c>
      <c r="C77" s="2" t="s">
        <v>34</v>
      </c>
      <c r="D77" s="2" t="s">
        <v>30</v>
      </c>
      <c r="E77" s="2" t="s">
        <v>35</v>
      </c>
      <c r="F77" s="2" t="s">
        <v>36</v>
      </c>
      <c r="G77" s="2" t="s">
        <v>37</v>
      </c>
      <c r="H77" s="2" t="s">
        <v>38</v>
      </c>
      <c r="I77" s="2" t="s">
        <v>39</v>
      </c>
      <c r="J77" s="2" t="s">
        <v>40</v>
      </c>
    </row>
    <row r="78" spans="1:10" ht="55" customHeight="1" x14ac:dyDescent="0.2">
      <c r="A78" s="2">
        <v>78</v>
      </c>
      <c r="B78" s="2" t="s">
        <v>354</v>
      </c>
      <c r="C78" s="2" t="s">
        <v>34</v>
      </c>
      <c r="D78" s="2" t="s">
        <v>30</v>
      </c>
      <c r="E78" s="2" t="s">
        <v>35</v>
      </c>
      <c r="F78" s="2" t="s">
        <v>36</v>
      </c>
      <c r="G78" s="2" t="s">
        <v>37</v>
      </c>
      <c r="H78" s="2" t="s">
        <v>38</v>
      </c>
      <c r="I78" s="2" t="s">
        <v>39</v>
      </c>
      <c r="J78" s="2" t="s">
        <v>40</v>
      </c>
    </row>
    <row r="79" spans="1:10" ht="55" customHeight="1" x14ac:dyDescent="0.2">
      <c r="A79" s="2">
        <v>79</v>
      </c>
      <c r="B79" s="2" t="s">
        <v>355</v>
      </c>
      <c r="C79" s="2" t="s">
        <v>34</v>
      </c>
      <c r="D79" s="2" t="s">
        <v>30</v>
      </c>
      <c r="E79" s="2" t="s">
        <v>35</v>
      </c>
      <c r="F79" s="2" t="s">
        <v>36</v>
      </c>
      <c r="G79" s="2" t="s">
        <v>37</v>
      </c>
      <c r="H79" s="2" t="s">
        <v>38</v>
      </c>
      <c r="I79" s="2" t="s">
        <v>39</v>
      </c>
      <c r="J79" s="2" t="s">
        <v>40</v>
      </c>
    </row>
    <row r="80" spans="1:10" ht="55" customHeight="1" x14ac:dyDescent="0.2">
      <c r="A80" s="2">
        <v>80</v>
      </c>
      <c r="B80" s="2" t="s">
        <v>24</v>
      </c>
      <c r="C80" s="2" t="s">
        <v>34</v>
      </c>
      <c r="D80" s="2" t="s">
        <v>30</v>
      </c>
      <c r="E80" s="2" t="s">
        <v>35</v>
      </c>
      <c r="F80" s="2" t="s">
        <v>36</v>
      </c>
      <c r="G80" s="2" t="s">
        <v>37</v>
      </c>
      <c r="H80" s="2" t="s">
        <v>38</v>
      </c>
      <c r="I80" s="2" t="s">
        <v>39</v>
      </c>
      <c r="J80" s="2" t="s">
        <v>40</v>
      </c>
    </row>
    <row r="81" spans="1:10" ht="55" customHeight="1" x14ac:dyDescent="0.2">
      <c r="A81" s="2">
        <v>81</v>
      </c>
      <c r="B81" s="2" t="s">
        <v>356</v>
      </c>
      <c r="C81" s="2" t="s">
        <v>34</v>
      </c>
      <c r="D81" s="2" t="s">
        <v>30</v>
      </c>
      <c r="E81" s="2" t="s">
        <v>35</v>
      </c>
      <c r="F81" s="2" t="s">
        <v>36</v>
      </c>
      <c r="G81" s="2" t="s">
        <v>37</v>
      </c>
      <c r="H81" s="2" t="s">
        <v>38</v>
      </c>
      <c r="I81" s="2" t="s">
        <v>39</v>
      </c>
      <c r="J81" s="2" t="s">
        <v>40</v>
      </c>
    </row>
    <row r="82" spans="1:10" ht="55" customHeight="1" x14ac:dyDescent="0.2">
      <c r="A82" s="2">
        <v>82</v>
      </c>
      <c r="B82" s="2" t="s">
        <v>248</v>
      </c>
      <c r="C82" s="2" t="s">
        <v>252</v>
      </c>
      <c r="D82" s="2" t="s">
        <v>250</v>
      </c>
      <c r="E82" s="2" t="s">
        <v>127</v>
      </c>
      <c r="F82" s="2" t="s">
        <v>253</v>
      </c>
      <c r="G82" s="2" t="s">
        <v>76</v>
      </c>
      <c r="H82" s="2" t="s">
        <v>254</v>
      </c>
      <c r="I82" s="2" t="s">
        <v>255</v>
      </c>
      <c r="J82" s="2" t="s">
        <v>251</v>
      </c>
    </row>
    <row r="83" spans="1:10" ht="55" customHeight="1" x14ac:dyDescent="0.2">
      <c r="A83" s="2">
        <v>83</v>
      </c>
      <c r="B83" s="2" t="s">
        <v>318</v>
      </c>
      <c r="C83" s="2" t="s">
        <v>323</v>
      </c>
      <c r="D83" s="2" t="s">
        <v>320</v>
      </c>
      <c r="E83" s="2" t="s">
        <v>127</v>
      </c>
      <c r="F83" s="2" t="s">
        <v>324</v>
      </c>
      <c r="G83" s="2" t="s">
        <v>76</v>
      </c>
      <c r="H83" s="2" t="s">
        <v>51</v>
      </c>
      <c r="I83" s="2" t="s">
        <v>325</v>
      </c>
      <c r="J83" s="2" t="s">
        <v>321</v>
      </c>
    </row>
    <row r="84" spans="1:10" ht="55" customHeight="1" x14ac:dyDescent="0.2">
      <c r="A84" s="2">
        <v>84</v>
      </c>
      <c r="B84" s="2" t="s">
        <v>155</v>
      </c>
      <c r="C84" s="2" t="s">
        <v>161</v>
      </c>
      <c r="D84" s="2" t="s">
        <v>157</v>
      </c>
      <c r="E84" s="2" t="s">
        <v>127</v>
      </c>
      <c r="F84" s="2" t="s">
        <v>162</v>
      </c>
      <c r="G84" s="2" t="s">
        <v>76</v>
      </c>
      <c r="H84" s="2" t="s">
        <v>51</v>
      </c>
      <c r="I84" s="2" t="s">
        <v>163</v>
      </c>
      <c r="J84" s="2" t="s">
        <v>159</v>
      </c>
    </row>
    <row r="85" spans="1:10" ht="55" customHeight="1" x14ac:dyDescent="0.2">
      <c r="A85" s="2">
        <v>85</v>
      </c>
      <c r="B85" s="2" t="s">
        <v>164</v>
      </c>
      <c r="C85" s="2" t="s">
        <v>161</v>
      </c>
      <c r="D85" s="2" t="s">
        <v>157</v>
      </c>
      <c r="E85" s="2" t="s">
        <v>127</v>
      </c>
      <c r="F85" s="2" t="s">
        <v>162</v>
      </c>
      <c r="G85" s="2" t="s">
        <v>76</v>
      </c>
      <c r="H85" s="2" t="s">
        <v>51</v>
      </c>
      <c r="I85" s="2" t="s">
        <v>163</v>
      </c>
      <c r="J85" s="2" t="s">
        <v>159</v>
      </c>
    </row>
  </sheetData>
  <conditionalFormatting sqref="H2:H85">
    <cfRule type="expression" dxfId="1" priority="1">
      <formula>LEFT(H2,8)="Verified"</formula>
    </cfRule>
    <cfRule type="expression" dxfId="0" priority="2">
      <formula>LEFT(H2,5)="Needs"</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1"/>
  <sheetViews>
    <sheetView workbookViewId="0">
      <selection sqref="A1:B1"/>
    </sheetView>
  </sheetViews>
  <sheetFormatPr baseColWidth="10" defaultColWidth="8.83203125" defaultRowHeight="16" x14ac:dyDescent="0.2"/>
  <cols>
    <col min="1" max="1" width="30" customWidth="1"/>
    <col min="2" max="2" width="100" customWidth="1"/>
  </cols>
  <sheetData>
    <row r="1" spans="1:2" ht="42" customHeight="1" x14ac:dyDescent="0.25">
      <c r="A1" s="7" t="s">
        <v>508</v>
      </c>
      <c r="B1" s="6"/>
    </row>
    <row r="2" spans="1:2" ht="42" customHeight="1" x14ac:dyDescent="0.2">
      <c r="A2" s="3" t="s">
        <v>509</v>
      </c>
      <c r="B2" s="3" t="s">
        <v>510</v>
      </c>
    </row>
    <row r="3" spans="1:2" ht="42" customHeight="1" x14ac:dyDescent="0.2">
      <c r="A3" s="4" t="s">
        <v>18</v>
      </c>
      <c r="B3" s="4" t="s">
        <v>511</v>
      </c>
    </row>
    <row r="4" spans="1:2" ht="42" customHeight="1" x14ac:dyDescent="0.2">
      <c r="A4" s="4" t="s">
        <v>19</v>
      </c>
      <c r="B4" s="4" t="s">
        <v>512</v>
      </c>
    </row>
    <row r="5" spans="1:2" ht="42" customHeight="1" x14ac:dyDescent="0.2">
      <c r="A5" s="4" t="s">
        <v>20</v>
      </c>
      <c r="B5" s="4" t="s">
        <v>513</v>
      </c>
    </row>
    <row r="6" spans="1:2" ht="42" customHeight="1" x14ac:dyDescent="0.2">
      <c r="A6" s="4" t="s">
        <v>21</v>
      </c>
      <c r="B6" s="4" t="s">
        <v>514</v>
      </c>
    </row>
    <row r="7" spans="1:2" ht="42" customHeight="1" x14ac:dyDescent="0.2">
      <c r="A7" s="4" t="s">
        <v>105</v>
      </c>
      <c r="B7" s="4" t="s">
        <v>515</v>
      </c>
    </row>
    <row r="8" spans="1:2" ht="42" customHeight="1" x14ac:dyDescent="0.2">
      <c r="A8" s="4" t="s">
        <v>516</v>
      </c>
      <c r="B8" s="4" t="s">
        <v>517</v>
      </c>
    </row>
    <row r="9" spans="1:2" ht="42" customHeight="1" x14ac:dyDescent="0.2">
      <c r="A9" s="4" t="s">
        <v>518</v>
      </c>
      <c r="B9" s="4" t="s">
        <v>519</v>
      </c>
    </row>
    <row r="10" spans="1:2" ht="42" customHeight="1" x14ac:dyDescent="0.2">
      <c r="A10" s="4" t="s">
        <v>520</v>
      </c>
      <c r="B10" s="4" t="s">
        <v>521</v>
      </c>
    </row>
    <row r="11" spans="1:2" ht="42" customHeight="1" x14ac:dyDescent="0.2">
      <c r="A11" s="4" t="s">
        <v>522</v>
      </c>
      <c r="B11" s="4" t="s">
        <v>523</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Device_Audit</vt:lpstr>
      <vt:lpstr>Device_Methodology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Iris Dania Jimenez</cp:lastModifiedBy>
  <dcterms:created xsi:type="dcterms:W3CDTF">2026-07-17T12:45:56Z</dcterms:created>
  <dcterms:modified xsi:type="dcterms:W3CDTF">2026-07-22T09:06:42Z</dcterms:modified>
</cp:coreProperties>
</file>